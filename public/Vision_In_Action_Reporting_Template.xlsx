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viacame-my.sharepoint.com/personal/finance_viacame_org/Documents/2026/2026 REPORTS/VIAC DATA ENTRY SHEET/"/>
    </mc:Choice>
  </mc:AlternateContent>
  <xr:revisionPtr revIDLastSave="19" documentId="13_ncr:1_{3394379A-9F1E-4D67-B987-3527D73953EA}" xr6:coauthVersionLast="47" xr6:coauthVersionMax="47" xr10:uidLastSave="{5F752A7F-F353-46BB-9B1A-29FAA408F0C2}"/>
  <bookViews>
    <workbookView xWindow="20" yWindow="20" windowWidth="19180" windowHeight="10060" firstSheet="1" activeTab="1" xr2:uid="{00000000-000D-0000-FFFF-FFFF00000000}"/>
  </bookViews>
  <sheets>
    <sheet name="Sheet1" sheetId="9" state="hidden" r:id="rId1"/>
    <sheet name="Data_Entry" sheetId="1" r:id="rId2"/>
    <sheet name="Weekly_Monthly_Summary" sheetId="2" r:id="rId3"/>
    <sheet name="Dashboard" sheetId="3" r:id="rId4"/>
    <sheet name="Pivot_Community" sheetId="4" r:id="rId5"/>
    <sheet name="Pivot_Thematic" sheetId="5" r:id="rId6"/>
    <sheet name="Pivot_Project" sheetId="8" r:id="rId7"/>
    <sheet name="Pivot_Age_Group" sheetId="6" r:id="rId8"/>
    <sheet name="Narrative_Report" sheetId="7" r:id="rId9"/>
  </sheets>
  <definedNames>
    <definedName name="_xlchart.v1.0" hidden="1">Weekly_Monthly_Summary!$A$3:$A$14</definedName>
    <definedName name="_xlchart.v1.1" hidden="1">Weekly_Monthly_Summary!$B$3:$B$14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5" i="2" l="1"/>
  <c r="E14" i="2"/>
  <c r="D15" i="2"/>
  <c r="D14" i="2"/>
  <c r="E3" i="2"/>
  <c r="E4" i="2"/>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A107" i="7"/>
  <c r="A38" i="7"/>
  <c r="A39" i="7"/>
  <c r="A40" i="7"/>
  <c r="D2" i="4"/>
  <c r="A2" i="4"/>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E9" i="4" a="1"/>
  <c r="B9" i="8" a="1"/>
  <c r="B10" i="8" a="1"/>
  <c r="B8" i="8" a="1"/>
  <c r="B11" i="8" a="1"/>
  <c r="B12" i="8" a="1"/>
  <c r="B13" i="8" a="1"/>
  <c r="B14" i="8" a="1"/>
  <c r="B15" i="8" a="1"/>
  <c r="B16" i="8" a="1"/>
  <c r="B17" i="8" a="1"/>
  <c r="B18" i="8" a="1"/>
  <c r="B19" i="8" a="1"/>
  <c r="B20" i="8" a="1"/>
  <c r="B21" i="8" a="1"/>
  <c r="A3" i="8" a="1"/>
  <c r="B14" i="4" a="1"/>
  <c r="A30" i="7" s="1"/>
  <c r="B15" i="4" a="1"/>
  <c r="A31" i="7" s="1"/>
  <c r="B16" i="4" a="1"/>
  <c r="A32" i="7" s="1"/>
  <c r="B17" i="4" a="1"/>
  <c r="A33" i="7" s="1"/>
  <c r="B18" i="4" a="1"/>
  <c r="A34" i="7" s="1"/>
  <c r="B19" i="4" a="1"/>
  <c r="A35" i="7" s="1"/>
  <c r="B20" i="4" a="1"/>
  <c r="A36" i="7" s="1"/>
  <c r="B21" i="4" a="1"/>
  <c r="A37" i="7" s="1"/>
  <c r="A3" i="4" a="1"/>
  <c r="B6" i="6" a="1"/>
  <c r="B7" i="6" a="1"/>
  <c r="B8" i="6" a="1"/>
  <c r="B9" i="6" a="1"/>
  <c r="B10" i="6" a="1"/>
  <c r="B11" i="6" a="1"/>
  <c r="B12" i="6" a="1"/>
  <c r="B13" i="6" a="1"/>
  <c r="B14" i="6" a="1"/>
  <c r="B15" i="6" a="1"/>
  <c r="B16" i="6" a="1"/>
  <c r="B17" i="6" a="1"/>
  <c r="B18" i="6" a="1"/>
  <c r="B19" i="6" a="1"/>
  <c r="B20" i="6" a="1"/>
  <c r="B21" i="6" a="1"/>
  <c r="A3" i="6" a="1"/>
  <c r="B12" i="5" a="1"/>
  <c r="B13" i="5" a="1"/>
  <c r="B14" i="5" a="1"/>
  <c r="B15" i="5" a="1"/>
  <c r="B16" i="5" a="1"/>
  <c r="B17" i="5" a="1"/>
  <c r="B18" i="5" a="1"/>
  <c r="B19" i="5" a="1"/>
  <c r="B20" i="5" a="1"/>
  <c r="B21" i="5" a="1"/>
  <c r="A3" i="5" a="1"/>
  <c r="A55" i="7"/>
  <c r="A49" i="7"/>
  <c r="A43" i="7"/>
  <c r="A18" i="7"/>
  <c r="A6" i="7"/>
  <c r="E5" i="2"/>
  <c r="C3" i="3"/>
  <c r="A12" i="7" s="1"/>
  <c r="E13" i="2"/>
  <c r="A61" i="7" s="1"/>
  <c r="D13" i="2"/>
  <c r="E12" i="2"/>
  <c r="A60" i="7" s="1"/>
  <c r="D12" i="2"/>
  <c r="E11" i="2"/>
  <c r="A59" i="7" s="1"/>
  <c r="D11" i="2"/>
  <c r="E10" i="2"/>
  <c r="A58" i="7" s="1"/>
  <c r="D10" i="2"/>
  <c r="E9" i="2"/>
  <c r="A57" i="7" s="1"/>
  <c r="D9" i="2"/>
  <c r="E8" i="2"/>
  <c r="A56" i="7" s="1"/>
  <c r="D8" i="2"/>
  <c r="C202" i="1"/>
  <c r="B202" i="1"/>
  <c r="C201" i="1"/>
  <c r="B201" i="1"/>
  <c r="C200" i="1"/>
  <c r="B200" i="1"/>
  <c r="C199" i="1"/>
  <c r="B199" i="1"/>
  <c r="C198" i="1"/>
  <c r="B198" i="1"/>
  <c r="C197" i="1"/>
  <c r="B197" i="1"/>
  <c r="C196" i="1"/>
  <c r="B196" i="1"/>
  <c r="C195" i="1"/>
  <c r="B195" i="1"/>
  <c r="C194" i="1"/>
  <c r="B194" i="1"/>
  <c r="C193" i="1"/>
  <c r="B193" i="1"/>
  <c r="C192" i="1"/>
  <c r="B192" i="1"/>
  <c r="C191" i="1"/>
  <c r="B191" i="1"/>
  <c r="C190" i="1"/>
  <c r="B190" i="1"/>
  <c r="C189" i="1"/>
  <c r="B189" i="1"/>
  <c r="C188" i="1"/>
  <c r="B188" i="1"/>
  <c r="C187" i="1"/>
  <c r="B187" i="1"/>
  <c r="C186" i="1"/>
  <c r="B186" i="1"/>
  <c r="C185" i="1"/>
  <c r="B185" i="1"/>
  <c r="C184" i="1"/>
  <c r="B184" i="1"/>
  <c r="C183" i="1"/>
  <c r="B183" i="1"/>
  <c r="C182" i="1"/>
  <c r="B182" i="1"/>
  <c r="C181" i="1"/>
  <c r="B181" i="1"/>
  <c r="C180" i="1"/>
  <c r="B180" i="1"/>
  <c r="C179" i="1"/>
  <c r="B179" i="1"/>
  <c r="C178" i="1"/>
  <c r="B178" i="1"/>
  <c r="C177" i="1"/>
  <c r="B177" i="1"/>
  <c r="C176" i="1"/>
  <c r="B176" i="1"/>
  <c r="C175" i="1"/>
  <c r="B175" i="1"/>
  <c r="C174" i="1"/>
  <c r="B174" i="1"/>
  <c r="C173" i="1"/>
  <c r="B173" i="1"/>
  <c r="C172" i="1"/>
  <c r="B172" i="1"/>
  <c r="C171" i="1"/>
  <c r="B171" i="1"/>
  <c r="C170" i="1"/>
  <c r="B170" i="1"/>
  <c r="C169" i="1"/>
  <c r="B169" i="1"/>
  <c r="C168" i="1"/>
  <c r="B168" i="1"/>
  <c r="C167" i="1"/>
  <c r="B167" i="1"/>
  <c r="C166" i="1"/>
  <c r="B166" i="1"/>
  <c r="C165" i="1"/>
  <c r="B165" i="1"/>
  <c r="C164" i="1"/>
  <c r="B164" i="1"/>
  <c r="C163" i="1"/>
  <c r="B163" i="1"/>
  <c r="C162" i="1"/>
  <c r="B162" i="1"/>
  <c r="C161" i="1"/>
  <c r="B161" i="1"/>
  <c r="C160" i="1"/>
  <c r="B160" i="1"/>
  <c r="C159" i="1"/>
  <c r="B159" i="1"/>
  <c r="C158" i="1"/>
  <c r="B158" i="1"/>
  <c r="C157" i="1"/>
  <c r="B157" i="1"/>
  <c r="C156" i="1"/>
  <c r="B156" i="1"/>
  <c r="C155" i="1"/>
  <c r="B155" i="1"/>
  <c r="C154" i="1"/>
  <c r="B154" i="1"/>
  <c r="C153" i="1"/>
  <c r="B153" i="1"/>
  <c r="C152" i="1"/>
  <c r="B152" i="1"/>
  <c r="C151" i="1"/>
  <c r="B151" i="1"/>
  <c r="C150" i="1"/>
  <c r="B150" i="1"/>
  <c r="C149" i="1"/>
  <c r="B149" i="1"/>
  <c r="C148" i="1"/>
  <c r="B148" i="1"/>
  <c r="C147" i="1"/>
  <c r="B147" i="1"/>
  <c r="C146" i="1"/>
  <c r="B146" i="1"/>
  <c r="C145" i="1"/>
  <c r="B145" i="1"/>
  <c r="C144" i="1"/>
  <c r="B144" i="1"/>
  <c r="C143" i="1"/>
  <c r="B143" i="1"/>
  <c r="C142" i="1"/>
  <c r="B142" i="1"/>
  <c r="C141" i="1"/>
  <c r="B141" i="1"/>
  <c r="C140" i="1"/>
  <c r="B140" i="1"/>
  <c r="C139" i="1"/>
  <c r="B139" i="1"/>
  <c r="C138" i="1"/>
  <c r="B138" i="1"/>
  <c r="C137" i="1"/>
  <c r="B137" i="1"/>
  <c r="C136" i="1"/>
  <c r="B136" i="1"/>
  <c r="C135" i="1"/>
  <c r="B135" i="1"/>
  <c r="C134" i="1"/>
  <c r="B134" i="1"/>
  <c r="C133" i="1"/>
  <c r="B133" i="1"/>
  <c r="C132" i="1"/>
  <c r="B132" i="1"/>
  <c r="C131" i="1"/>
  <c r="B131" i="1"/>
  <c r="C130" i="1"/>
  <c r="B130" i="1"/>
  <c r="C129" i="1"/>
  <c r="B129" i="1"/>
  <c r="C128" i="1"/>
  <c r="B128" i="1"/>
  <c r="C127" i="1"/>
  <c r="B127" i="1"/>
  <c r="C126" i="1"/>
  <c r="B126" i="1"/>
  <c r="C125" i="1"/>
  <c r="B125" i="1"/>
  <c r="C124" i="1"/>
  <c r="B124" i="1"/>
  <c r="C123" i="1"/>
  <c r="B123" i="1"/>
  <c r="C122" i="1"/>
  <c r="B122" i="1"/>
  <c r="C121" i="1"/>
  <c r="B121" i="1"/>
  <c r="C120" i="1"/>
  <c r="B120" i="1"/>
  <c r="C119" i="1"/>
  <c r="B119" i="1"/>
  <c r="C118" i="1"/>
  <c r="B118" i="1"/>
  <c r="C117" i="1"/>
  <c r="B117" i="1"/>
  <c r="C116" i="1"/>
  <c r="B116" i="1"/>
  <c r="C115" i="1"/>
  <c r="B115" i="1"/>
  <c r="C114" i="1"/>
  <c r="B114" i="1"/>
  <c r="C113" i="1"/>
  <c r="B113" i="1"/>
  <c r="C112" i="1"/>
  <c r="B112" i="1"/>
  <c r="C111" i="1"/>
  <c r="B111" i="1"/>
  <c r="C110" i="1"/>
  <c r="B110" i="1"/>
  <c r="C109" i="1"/>
  <c r="B109" i="1"/>
  <c r="C108" i="1"/>
  <c r="B108" i="1"/>
  <c r="C107" i="1"/>
  <c r="B107" i="1"/>
  <c r="C106" i="1"/>
  <c r="B106" i="1"/>
  <c r="C105" i="1"/>
  <c r="B105" i="1"/>
  <c r="C104" i="1"/>
  <c r="B104" i="1"/>
  <c r="C103" i="1"/>
  <c r="B103" i="1"/>
  <c r="C102" i="1"/>
  <c r="B102" i="1"/>
  <c r="C101" i="1"/>
  <c r="B101" i="1"/>
  <c r="C100" i="1"/>
  <c r="B100" i="1"/>
  <c r="C99" i="1"/>
  <c r="B99" i="1"/>
  <c r="C98" i="1"/>
  <c r="B98" i="1"/>
  <c r="C97" i="1"/>
  <c r="B97" i="1"/>
  <c r="C96" i="1"/>
  <c r="B96" i="1"/>
  <c r="C95" i="1"/>
  <c r="B95" i="1"/>
  <c r="C94" i="1"/>
  <c r="B94" i="1"/>
  <c r="C93" i="1"/>
  <c r="B93" i="1"/>
  <c r="C92" i="1"/>
  <c r="B92" i="1"/>
  <c r="C91" i="1"/>
  <c r="B91" i="1"/>
  <c r="C90" i="1"/>
  <c r="B90" i="1"/>
  <c r="C89" i="1"/>
  <c r="B89" i="1"/>
  <c r="C88" i="1"/>
  <c r="B88" i="1"/>
  <c r="C87" i="1"/>
  <c r="B87" i="1"/>
  <c r="C86" i="1"/>
  <c r="B86" i="1"/>
  <c r="C85" i="1"/>
  <c r="B85" i="1"/>
  <c r="C84" i="1"/>
  <c r="B84" i="1"/>
  <c r="C83" i="1"/>
  <c r="B83" i="1"/>
  <c r="C82" i="1"/>
  <c r="B82" i="1"/>
  <c r="C81" i="1"/>
  <c r="B81" i="1"/>
  <c r="C80" i="1"/>
  <c r="B80" i="1"/>
  <c r="C79" i="1"/>
  <c r="B79" i="1"/>
  <c r="C78" i="1"/>
  <c r="B78" i="1"/>
  <c r="C77" i="1"/>
  <c r="B77" i="1"/>
  <c r="C76" i="1"/>
  <c r="B76" i="1"/>
  <c r="C75" i="1"/>
  <c r="B75" i="1"/>
  <c r="C74" i="1"/>
  <c r="B74" i="1"/>
  <c r="C73" i="1"/>
  <c r="B73" i="1"/>
  <c r="C72" i="1"/>
  <c r="B72" i="1"/>
  <c r="C71" i="1"/>
  <c r="B71" i="1"/>
  <c r="C70" i="1"/>
  <c r="B70" i="1"/>
  <c r="C69" i="1"/>
  <c r="B69" i="1"/>
  <c r="C68" i="1"/>
  <c r="B68" i="1"/>
  <c r="C67" i="1"/>
  <c r="B67" i="1"/>
  <c r="C66" i="1"/>
  <c r="B66" i="1"/>
  <c r="C65" i="1"/>
  <c r="B65" i="1"/>
  <c r="C64" i="1"/>
  <c r="B64" i="1"/>
  <c r="C63" i="1"/>
  <c r="B63" i="1"/>
  <c r="C62" i="1"/>
  <c r="B62" i="1"/>
  <c r="C61" i="1"/>
  <c r="B61" i="1"/>
  <c r="C60" i="1"/>
  <c r="B60" i="1"/>
  <c r="C59" i="1"/>
  <c r="B59" i="1"/>
  <c r="C58" i="1"/>
  <c r="B58" i="1"/>
  <c r="C57" i="1"/>
  <c r="B57" i="1"/>
  <c r="C56" i="1"/>
  <c r="B56" i="1"/>
  <c r="C55" i="1"/>
  <c r="B55" i="1"/>
  <c r="C54" i="1"/>
  <c r="B54" i="1"/>
  <c r="C53" i="1"/>
  <c r="B53" i="1"/>
  <c r="C52" i="1"/>
  <c r="B52" i="1"/>
  <c r="C51" i="1"/>
  <c r="B51" i="1"/>
  <c r="C50" i="1"/>
  <c r="B50" i="1"/>
  <c r="C49" i="1"/>
  <c r="B49" i="1"/>
  <c r="C48" i="1"/>
  <c r="B48" i="1"/>
  <c r="C47" i="1"/>
  <c r="B47" i="1"/>
  <c r="C46" i="1"/>
  <c r="B46" i="1"/>
  <c r="C45" i="1"/>
  <c r="B45" i="1"/>
  <c r="C44" i="1"/>
  <c r="B44" i="1"/>
  <c r="C43" i="1"/>
  <c r="B43" i="1"/>
  <c r="C42" i="1"/>
  <c r="B42" i="1"/>
  <c r="C41" i="1"/>
  <c r="B41" i="1"/>
  <c r="C40" i="1"/>
  <c r="B40" i="1"/>
  <c r="C39" i="1"/>
  <c r="B39" i="1"/>
  <c r="C38" i="1"/>
  <c r="B38" i="1"/>
  <c r="C37" i="1"/>
  <c r="B37" i="1"/>
  <c r="C36" i="1"/>
  <c r="B36" i="1"/>
  <c r="C35" i="1"/>
  <c r="B35" i="1"/>
  <c r="C34" i="1"/>
  <c r="B34" i="1"/>
  <c r="C33" i="1"/>
  <c r="B33" i="1"/>
  <c r="C32" i="1"/>
  <c r="B32" i="1"/>
  <c r="C31" i="1"/>
  <c r="B31" i="1"/>
  <c r="C30" i="1"/>
  <c r="B30" i="1"/>
  <c r="C29" i="1"/>
  <c r="B29" i="1"/>
  <c r="C28" i="1"/>
  <c r="B28" i="1"/>
  <c r="C27" i="1"/>
  <c r="B27" i="1"/>
  <c r="C26" i="1"/>
  <c r="B26" i="1"/>
  <c r="C25" i="1"/>
  <c r="B25" i="1"/>
  <c r="C24" i="1"/>
  <c r="B24" i="1"/>
  <c r="C23" i="1"/>
  <c r="B23" i="1"/>
  <c r="C22" i="1"/>
  <c r="B22" i="1"/>
  <c r="C21" i="1"/>
  <c r="B21" i="1"/>
  <c r="C20" i="1"/>
  <c r="B20" i="1"/>
  <c r="C19" i="1"/>
  <c r="B19" i="1"/>
  <c r="C18" i="1"/>
  <c r="B18" i="1"/>
  <c r="C17" i="1"/>
  <c r="B17" i="1"/>
  <c r="C16" i="1"/>
  <c r="B16" i="1"/>
  <c r="C15" i="1"/>
  <c r="B15" i="1"/>
  <c r="C14" i="1"/>
  <c r="B14" i="1"/>
  <c r="C13" i="1"/>
  <c r="B13" i="1"/>
  <c r="C12" i="1"/>
  <c r="B12" i="1"/>
  <c r="C11" i="1"/>
  <c r="B11" i="1"/>
  <c r="C10" i="1"/>
  <c r="B10" i="1"/>
  <c r="C9" i="1"/>
  <c r="B9" i="1"/>
  <c r="C8" i="1"/>
  <c r="B8" i="1"/>
  <c r="C7" i="1"/>
  <c r="B7" i="1"/>
  <c r="C6" i="1"/>
  <c r="B6" i="1"/>
  <c r="C5" i="1"/>
  <c r="B5" i="1"/>
  <c r="C4" i="1"/>
  <c r="B4" i="1"/>
  <c r="C3" i="1"/>
  <c r="B3" i="1"/>
  <c r="B11" i="5" l="1" a="1"/>
  <c r="D3" i="4" a="1"/>
  <c r="B14" i="2"/>
  <c r="B13" i="2"/>
  <c r="B12" i="2"/>
  <c r="B11" i="2"/>
  <c r="B10" i="2"/>
  <c r="B7" i="2"/>
  <c r="B6" i="2"/>
  <c r="B5" i="2"/>
  <c r="B4" i="2"/>
  <c r="B3" i="2"/>
  <c r="B9" i="2" l="1"/>
  <c r="B13" i="4" a="1"/>
  <c r="A29" i="7" s="1"/>
  <c r="B7" i="8" a="1"/>
  <c r="B10" i="5" a="1"/>
  <c r="B3" i="4" a="1"/>
  <c r="A19" i="7" s="1"/>
  <c r="B5" i="6" a="1"/>
  <c r="B12" i="4" a="1"/>
  <c r="A28" i="7" s="1"/>
  <c r="B4" i="4" a="1"/>
  <c r="A20" i="7" s="1"/>
  <c r="B7" i="5" a="1"/>
  <c r="B3" i="8" a="1"/>
  <c r="B5" i="4" a="1"/>
  <c r="A21" i="7" s="1"/>
  <c r="B8" i="5" a="1"/>
  <c r="B9" i="5" a="1"/>
  <c r="B6" i="5" a="1"/>
  <c r="B3" i="5" a="1"/>
  <c r="A44" i="7" s="1"/>
  <c r="B5" i="8" a="1"/>
  <c r="E5" i="4" a="1"/>
  <c r="B6" i="8" a="1"/>
  <c r="B4" i="5" a="1"/>
  <c r="A45" i="7" s="1"/>
  <c r="B5" i="5" a="1"/>
  <c r="A46" i="7" s="1"/>
  <c r="B3" i="6" a="1"/>
  <c r="B4" i="6" a="1"/>
  <c r="B10" i="4" a="1"/>
  <c r="A26" i="7" s="1"/>
  <c r="B7" i="4" a="1"/>
  <c r="A23" i="7" s="1"/>
  <c r="B8" i="4" a="1"/>
  <c r="A24" i="7" s="1"/>
  <c r="B9" i="4" a="1"/>
  <c r="A25" i="7" s="1"/>
  <c r="B8" i="2"/>
  <c r="E4" i="4" a="1"/>
  <c r="E6" i="4" a="1"/>
  <c r="E8" i="4" a="1"/>
  <c r="E7" i="4" a="1"/>
  <c r="E3" i="4" a="1"/>
  <c r="C2" i="3"/>
  <c r="B11" i="4" a="1"/>
  <c r="A27" i="7" s="1"/>
  <c r="B4" i="8" a="1"/>
  <c r="B6" i="4" a="1"/>
  <c r="A22" i="7" s="1"/>
  <c r="A52" i="7" l="1"/>
  <c r="A50" i="7"/>
  <c r="A51" i="7"/>
  <c r="A13" i="7"/>
  <c r="A9" i="7"/>
  <c r="A15" i="7"/>
  <c r="A14" i="7"/>
  <c r="A96"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0"/>
        </ext>
      </extLst>
    </bk>
    <bk>
      <extLst>
        <ext uri="{3e2802c4-a4d2-4d8b-9148-e3be6c30e623}">
          <xlrd:rvb i="1"/>
        </ext>
      </extLst>
    </bk>
    <bk>
      <extLst>
        <ext uri="{3e2802c4-a4d2-4d8b-9148-e3be6c30e623}">
          <xlrd:rvb i="2"/>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<sst xmlns="http://schemas.openxmlformats.org/spreadsheetml/2006/main" count="321" uniqueCount="212">
  <si>
    <t>Division - Subdivision</t>
  </si>
  <si>
    <t>Communities</t>
  </si>
  <si>
    <t>Fako - Buea</t>
  </si>
  <si>
    <t>Likoko  Membea</t>
  </si>
  <si>
    <t xml:space="preserve">Lysoka </t>
  </si>
  <si>
    <t>Bitingui</t>
  </si>
  <si>
    <t>Bokoko</t>
  </si>
  <si>
    <t>Bokova</t>
  </si>
  <si>
    <t>Sandpit</t>
  </si>
  <si>
    <t>Bonduma</t>
  </si>
  <si>
    <t>Bokwai</t>
  </si>
  <si>
    <t>Bokwango</t>
  </si>
  <si>
    <t>Bolifamba (Mile 16)</t>
  </si>
  <si>
    <t>Bonakanda</t>
  </si>
  <si>
    <t>Bova I</t>
  </si>
  <si>
    <t>Bova II</t>
  </si>
  <si>
    <t>Bulu</t>
  </si>
  <si>
    <t>Bwassa</t>
  </si>
  <si>
    <t>Ewonda</t>
  </si>
  <si>
    <t>Likombe</t>
  </si>
  <si>
    <t>Liongo</t>
  </si>
  <si>
    <t>Lissoka (Lysoka Bwielei)</t>
  </si>
  <si>
    <t>Lower Muea</t>
  </si>
  <si>
    <t>Middle Bonjongo</t>
  </si>
  <si>
    <t>Mile 16</t>
  </si>
  <si>
    <t>Mile 17</t>
  </si>
  <si>
    <t>Molyko</t>
  </si>
  <si>
    <t>Muea (Upper &amp; Lower Muea)</t>
  </si>
  <si>
    <r>
      <rPr>
        <sz val="7"/>
        <color rgb="FF000000"/>
        <rFont val="Times New Roman"/>
        <family val="1"/>
      </rPr>
      <t xml:space="preserve"> </t>
    </r>
    <r>
      <rPr>
        <sz val="11"/>
        <color rgb="FF000000"/>
        <rFont val="Calibri"/>
        <family val="2"/>
      </rPr>
      <t>Small Soppo</t>
    </r>
  </si>
  <si>
    <t>Tole</t>
  </si>
  <si>
    <t>Wututu</t>
  </si>
  <si>
    <t>Fako - Limbe I</t>
  </si>
  <si>
    <t>Bimbia</t>
  </si>
  <si>
    <t>Mokundange</t>
  </si>
  <si>
    <r>
      <rPr>
        <sz val="7"/>
        <color rgb="FF000000"/>
        <rFont val="Times New Roman"/>
        <family val="1"/>
      </rPr>
      <t xml:space="preserve"> </t>
    </r>
    <r>
      <rPr>
        <sz val="11"/>
        <color rgb="FF000000"/>
        <rFont val="Calibri"/>
        <family val="2"/>
      </rPr>
      <t>CDC Camp</t>
    </r>
  </si>
  <si>
    <t>Down Beach</t>
  </si>
  <si>
    <t>New Town</t>
  </si>
  <si>
    <t>Fako - Limbe II</t>
  </si>
  <si>
    <t>Batoke</t>
  </si>
  <si>
    <t>Bakingili</t>
  </si>
  <si>
    <t>Wovia</t>
  </si>
  <si>
    <t>Moliweh</t>
  </si>
  <si>
    <t>Mile 1</t>
  </si>
  <si>
    <t xml:space="preserve">Mile 2 </t>
  </si>
  <si>
    <t>Fako - Limbe III</t>
  </si>
  <si>
    <t>Debundscha</t>
  </si>
  <si>
    <t>Bobende</t>
  </si>
  <si>
    <t>Mokoko</t>
  </si>
  <si>
    <t>Mile 4</t>
  </si>
  <si>
    <t>Idenau</t>
  </si>
  <si>
    <t>Fako - Tiko</t>
  </si>
  <si>
    <t>Missellele</t>
  </si>
  <si>
    <t>Mondoni</t>
  </si>
  <si>
    <t>Ombe</t>
  </si>
  <si>
    <t>Moquo</t>
  </si>
  <si>
    <t>Mudeka</t>
  </si>
  <si>
    <t>Tiko Town</t>
  </si>
  <si>
    <t>Likomba</t>
  </si>
  <si>
    <t>Mutengene</t>
  </si>
  <si>
    <t>Meme - Kumba I</t>
  </si>
  <si>
    <t>Hausa Quarter</t>
  </si>
  <si>
    <t xml:space="preserve">kumba Town </t>
  </si>
  <si>
    <t>Three Corners</t>
  </si>
  <si>
    <t>Meme - Kumba II</t>
  </si>
  <si>
    <t>Barombi Mbo</t>
  </si>
  <si>
    <t>Mbengui Road</t>
  </si>
  <si>
    <t>Fiango</t>
  </si>
  <si>
    <t>Kosala</t>
  </si>
  <si>
    <t>Meme - Kumba III</t>
  </si>
  <si>
    <t>Kumba Mbeng</t>
  </si>
  <si>
    <t>Malende</t>
  </si>
  <si>
    <t>Mabonji</t>
  </si>
  <si>
    <t>Bekondo</t>
  </si>
  <si>
    <t xml:space="preserve">BAMENDA I </t>
  </si>
  <si>
    <t xml:space="preserve">BAMENDA II </t>
  </si>
  <si>
    <t>Bangshie </t>
  </si>
  <si>
    <r>
      <t>Nchoubu</t>
    </r>
    <r>
      <rPr>
        <sz val="10"/>
        <rFont val="Book Antiqua"/>
        <family val="1"/>
      </rPr>
      <t> </t>
    </r>
  </si>
  <si>
    <t>Ntarinkon </t>
  </si>
  <si>
    <t>Ngomgham </t>
  </si>
  <si>
    <t>Nitop I to IV </t>
  </si>
  <si>
    <t>Azire </t>
  </si>
  <si>
    <t>Ntamulung </t>
  </si>
  <si>
    <t>Alakuma </t>
  </si>
  <si>
    <t>Mile 2 Nkwen </t>
  </si>
  <si>
    <t>Mile 3 Nkwen </t>
  </si>
  <si>
    <t>Mile 4 Nkwen </t>
  </si>
  <si>
    <t>Rendezvous  </t>
  </si>
  <si>
    <t xml:space="preserve">BAMENDA III </t>
  </si>
  <si>
    <t>Sex workers</t>
  </si>
  <si>
    <t>Gender Minorities</t>
  </si>
  <si>
    <t xml:space="preserve">IDP </t>
  </si>
  <si>
    <t>Persons with disabilities</t>
  </si>
  <si>
    <t>TOTAL</t>
  </si>
  <si>
    <t>Date</t>
  </si>
  <si>
    <t>Week</t>
  </si>
  <si>
    <t>Month</t>
  </si>
  <si>
    <t>Thematic Area</t>
  </si>
  <si>
    <t>Age Group</t>
  </si>
  <si>
    <t>Project</t>
  </si>
  <si>
    <t>MALE</t>
  </si>
  <si>
    <t>FEMALE</t>
  </si>
  <si>
    <t>MALE:</t>
  </si>
  <si>
    <t>FEMALE:</t>
  </si>
  <si>
    <t>MALE.</t>
  </si>
  <si>
    <t>FEMALE.</t>
  </si>
  <si>
    <t>MALE-</t>
  </si>
  <si>
    <t>FEMALE-</t>
  </si>
  <si>
    <t>FEMALE_</t>
  </si>
  <si>
    <t>MALE_</t>
  </si>
  <si>
    <t>Participants</t>
  </si>
  <si>
    <t>Gender</t>
  </si>
  <si>
    <t>Jan-2026</t>
  </si>
  <si>
    <t>Male</t>
  </si>
  <si>
    <t>Feb-2026</t>
  </si>
  <si>
    <t>Female</t>
  </si>
  <si>
    <t>Mar-2026</t>
  </si>
  <si>
    <t>Other</t>
  </si>
  <si>
    <t>Apr-2026</t>
  </si>
  <si>
    <t>May-2026</t>
  </si>
  <si>
    <t>Target</t>
  </si>
  <si>
    <t>Jun-2026</t>
  </si>
  <si>
    <t>Jul-2026</t>
  </si>
  <si>
    <t>Aug-2026</t>
  </si>
  <si>
    <t>Sep-2026</t>
  </si>
  <si>
    <t>Oct-2026</t>
  </si>
  <si>
    <t>Nov-2026</t>
  </si>
  <si>
    <t>Dec-2026</t>
  </si>
  <si>
    <t>Total Participants</t>
  </si>
  <si>
    <t>Total Sessions</t>
  </si>
  <si>
    <t>MONTHLY NARRATIVE REPORT</t>
  </si>
  <si>
    <t>REPORTING PERIOD</t>
  </si>
  <si>
    <t>1. EXECUTIVE SUMMARY</t>
  </si>
  <si>
    <t>2. KEY STATISTICS</t>
  </si>
  <si>
    <t>3. COMMUNITY BREAKDOWN</t>
  </si>
  <si>
    <t>4. THEMATIC AREAS COVERED</t>
  </si>
  <si>
    <t>5. AGE GROUP DISTRIBUTION</t>
  </si>
  <si>
    <t>6. TARGET POPULATIONS REACHED</t>
  </si>
  <si>
    <t>7. OBJECTIVES</t>
  </si>
  <si>
    <t>The community outreach sessions aimed to achieve the following objectives:</t>
  </si>
  <si>
    <t xml:space="preserve">    • Increase awareness on sexual and reproductive health rights (SRHR) among vulnerable populations</t>
  </si>
  <si>
    <t xml:space="preserve">    • Provide education on STI prevention, testing, and treatment options</t>
  </si>
  <si>
    <t xml:space="preserve">    • Address drug abuse and its impact on community health and wellbeing</t>
  </si>
  <si>
    <t xml:space="preserve">    • Strengthen community engagement with IDPs, host communities, and key populations</t>
  </si>
  <si>
    <t xml:space="preserve">    • Promote gender-sensitive approaches in health service delivery</t>
  </si>
  <si>
    <t>8. METHODOLOGY</t>
  </si>
  <si>
    <t>The following approaches were employed during the community outreach sessions:</t>
  </si>
  <si>
    <t xml:space="preserve">    • Community mobilization through local leaders and peer educators</t>
  </si>
  <si>
    <t xml:space="preserve">    • Interactive group discussions and participatory learning sessions</t>
  </si>
  <si>
    <t xml:space="preserve">    • Distribution of Information, Education and Communication (IEC) materials</t>
  </si>
  <si>
    <t xml:space="preserve">    • One-on-one counseling and referral services for identified cases</t>
  </si>
  <si>
    <t xml:space="preserve">    • Data collection using standardized session tracking forms</t>
  </si>
  <si>
    <t>9. LESSONS LEARNT &amp; FEEDBACK</t>
  </si>
  <si>
    <t>Key lessons and feedback from the reporting period include:</t>
  </si>
  <si>
    <t xml:space="preserve">    • Community engagement is more effective when local leaders are involved from the planning stage</t>
  </si>
  <si>
    <t xml:space="preserve">    • Participants expressed preference for sessions conducted in local languages</t>
  </si>
  <si>
    <t xml:space="preserve">    • Combining health education with practical demonstrations increases retention and behavior change</t>
  </si>
  <si>
    <t xml:space="preserve">    • Follow-up sessions are needed to reinforce key messages and track progress</t>
  </si>
  <si>
    <t xml:space="preserve">    • Youth respond well to peer-led education approaches</t>
  </si>
  <si>
    <t>10. CHALLENGES</t>
  </si>
  <si>
    <t>The following challenges were encountered during implementation:</t>
  </si>
  <si>
    <t xml:space="preserve">    • Limited transportation to reach remote communities</t>
  </si>
  <si>
    <t xml:space="preserve">    • Language barriers with some displaced populations</t>
  </si>
  <si>
    <t xml:space="preserve">    • Stigma around certain topics (STI, drug abuse) limiting open participation</t>
  </si>
  <si>
    <t xml:space="preserve">    • Competing priorities and low attendance during farming/market days</t>
  </si>
  <si>
    <t xml:space="preserve">    • Insufficient IEC materials to meet community demand</t>
  </si>
  <si>
    <t>11. CONCLUSION</t>
  </si>
  <si>
    <t>12. RECOMMENDATIONS</t>
  </si>
  <si>
    <t>Based on lessons learnt and challenges, the following recommendations are proposed:</t>
  </si>
  <si>
    <t xml:space="preserve">    • Increase budget allocation for transportation to remote areas</t>
  </si>
  <si>
    <t xml:space="preserve">    • Train additional peer educators from local communities</t>
  </si>
  <si>
    <t xml:space="preserve">    • Schedule sessions around community calendars to maximize attendance</t>
  </si>
  <si>
    <t xml:space="preserve">    • Procure additional IEC materials in local languages</t>
  </si>
  <si>
    <t>Data Source: SessionData Table (Data_Entry Sheet)</t>
  </si>
  <si>
    <t>_______________________________</t>
  </si>
  <si>
    <t>Prepared by: ____________________</t>
  </si>
  <si>
    <t>Designation: ____________________</t>
  </si>
  <si>
    <t>Date: ____________________</t>
  </si>
  <si>
    <t>Approved by: ____________________</t>
  </si>
  <si>
    <t>VISION IN ACTION CAMEROON COMMUNITY SESSIONS DASHBOARD</t>
  </si>
  <si>
    <t>VISION IN ACTION CAMEROON COMMUNITY OUTREACH SESSIONS</t>
  </si>
  <si>
    <t>AGY-W</t>
  </si>
  <si>
    <t>ABY-M</t>
  </si>
  <si>
    <t>WOMEN</t>
  </si>
  <si>
    <t>MEN</t>
  </si>
  <si>
    <t>Commercial Avenue</t>
  </si>
  <si>
    <t>Old Town</t>
  </si>
  <si>
    <t>Up Station</t>
  </si>
  <si>
    <t>Hospital Roundabout</t>
  </si>
  <si>
    <t>Food Market Area</t>
  </si>
  <si>
    <t>Bamendankwe</t>
  </si>
  <si>
    <t>Abangoh</t>
  </si>
  <si>
    <t>Alahnting</t>
  </si>
  <si>
    <t>Ntafi</t>
  </si>
  <si>
    <t>Ntamulung</t>
  </si>
  <si>
    <t>Ntasen</t>
  </si>
  <si>
    <t>Ayaba</t>
  </si>
  <si>
    <t>Veterinary Junction</t>
  </si>
  <si>
    <t>Finance Junction</t>
  </si>
  <si>
    <t>City Chemist</t>
  </si>
  <si>
    <t>Mobile Nkwen</t>
  </si>
  <si>
    <t>Mankon</t>
  </si>
  <si>
    <t>Nsongwa</t>
  </si>
  <si>
    <t>Agyati</t>
  </si>
  <si>
    <t>Mile 5 Nkwen </t>
  </si>
  <si>
    <t>Foncha Junction</t>
  </si>
  <si>
    <t>Sisia</t>
  </si>
  <si>
    <t>Ntambag</t>
  </si>
  <si>
    <t>Mbelewa</t>
  </si>
  <si>
    <t>Ndzah</t>
  </si>
  <si>
    <t>BAMENDA  IV</t>
  </si>
  <si>
    <t xml:space="preserve">Bambui </t>
  </si>
  <si>
    <t>Bambili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</si>
</sst>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mmm\-yyyy"/>
  </numFmts>
  <fonts count="19" x14ac:knownFonts="1">
    <font>
      <sz val="11"/>
      <color theme="1"/>
      <name val="Calibri"/>
      <family val="2"/>
      <scheme val="minor"/>
    </font>
    <font>
      <b/>
      <sz val="11"/>
      <color rgb="FFFFFFFF"/>
      <name val="Calibri"/>
      <family val="2"/>
    </font>
    <font>
      <b/>
      <sz val="16"/>
      <name val="Calibri"/>
      <family val="2"/>
    </font>
    <font>
      <b/>
      <sz val="11"/>
      <color theme="1"/>
      <name val="Calibri"/>
      <family val="2"/>
      <scheme val="minor"/>
    </font>
    <font>
      <b/>
      <sz val="11"/>
      <color rgb="FFFFFFFF"/>
      <name val="Calibri"/>
      <family val="2"/>
    </font>
    <font>
      <b/>
      <sz val="20"/>
      <color rgb="FF1F4E79"/>
      <name val="Calibri"/>
      <family val="2"/>
      <scheme val="minor"/>
    </font>
    <font>
      <b/>
      <sz val="14"/>
      <color rgb="FF2E75B6"/>
      <name val="Calibri"/>
      <family val="2"/>
      <scheme val="minor"/>
    </font>
    <font>
      <b/>
      <sz val="12"/>
      <color rgb="FF1F4E79"/>
      <name val="Calibri"/>
      <family val="2"/>
      <scheme val="minor"/>
    </font>
    <font>
      <b/>
      <sz val="13"/>
      <color rgb="FF1F4E79"/>
      <name val="Calibri"/>
      <family val="2"/>
      <scheme val="minor"/>
    </font>
    <font>
      <i/>
      <sz val="10"/>
      <color rgb="FF666666"/>
      <name val="Calibri"/>
      <family val="2"/>
      <scheme val="minor"/>
    </font>
    <font>
      <b/>
      <sz val="11"/>
      <color rgb="FFFFFFFF"/>
      <name val="Calibri"/>
      <family val="2"/>
      <scheme val="minor"/>
    </font>
    <font>
      <sz val="11"/>
      <color rgb="FF000000"/>
      <name val="Calibri"/>
      <family val="2"/>
      <scheme val="minor"/>
    </font>
    <font>
      <sz val="10"/>
      <color rgb="FF000000"/>
      <name val="Book Antiqua"/>
      <family val="1"/>
    </font>
    <font>
      <sz val="10"/>
      <name val="Book Antiqua"/>
      <family val="1"/>
    </font>
    <font>
      <sz val="11"/>
      <color rgb="FF000000"/>
      <name val="Wingdings"/>
      <charset val="2"/>
    </font>
    <font>
      <sz val="11"/>
      <color rgb="FF000000"/>
      <name val="Calibri"/>
      <family val="2"/>
    </font>
    <font>
      <sz val="7"/>
      <color rgb="FF000000"/>
      <name val="Times New Roman"/>
      <family val="1"/>
    </font>
    <font>
      <sz val="11"/>
      <color rgb="FF000000"/>
      <name val="Calibri"/>
      <family val="2"/>
      <charset val="1"/>
    </font>
    <font>
      <sz val="8"/>
      <name val="Calibri"/>
      <family val="2"/>
      <scheme val="minor"/>
    </font>
  </fonts>
  <fills count="11">
    <fill>
      <patternFill patternType="none"/>
    </fill>
    <fill>
      <patternFill patternType="gray125"/>
    </fill>
    <fill>
      <patternFill patternType="solid">
        <fgColor rgb="FF1F4E78"/>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rgb="FFFFFFFF"/>
        <bgColor indexed="64"/>
      </patternFill>
    </fill>
    <fill>
      <patternFill patternType="solid">
        <fgColor rgb="FF1F4E79"/>
        <bgColor indexed="64"/>
      </patternFill>
    </fill>
    <fill>
      <patternFill patternType="solid">
        <fgColor rgb="FFFFFF00"/>
        <bgColor indexed="64"/>
      </patternFill>
    </fill>
    <fill>
      <patternFill patternType="solid">
        <fgColor theme="8" tint="0.39997558519241921"/>
        <bgColor indexed="64"/>
      </patternFill>
    </fill>
    <fill>
      <patternFill patternType="solid">
        <fgColor theme="4"/>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ck">
        <color rgb="FF1F4E79"/>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s>
  <cellStyleXfs count="1">
    <xf numFmtId="0" fontId="0" fillId="0" borderId="0"/>
  </cellStyleXfs>
  <cellXfs count="64">
    <xf numFmtId="0" fontId="0" fillId="0" borderId="0" xfId="0"/>
    <xf numFmtId="0" fontId="0" fillId="0" borderId="3" xfId="0" applyBorder="1"/>
    <xf numFmtId="0" fontId="15" fillId="0" borderId="3" xfId="0" applyFont="1" applyBorder="1"/>
    <xf numFmtId="0" fontId="14" fillId="0" borderId="3" xfId="0" applyFont="1" applyBorder="1"/>
    <xf numFmtId="0" fontId="12" fillId="0" borderId="3" xfId="0" applyFont="1" applyBorder="1"/>
    <xf numFmtId="0" fontId="13" fillId="0" borderId="3" xfId="0" applyFont="1" applyBorder="1"/>
    <xf numFmtId="0" fontId="0" fillId="8" borderId="3" xfId="0" applyFill="1" applyBorder="1"/>
    <xf numFmtId="0" fontId="14" fillId="0" borderId="0" xfId="0" applyFont="1"/>
    <xf numFmtId="0" fontId="17" fillId="0" borderId="0" xfId="0" applyFont="1"/>
    <xf numFmtId="0" fontId="17" fillId="0" borderId="3" xfId="0" applyFont="1" applyBorder="1"/>
    <xf numFmtId="0" fontId="5" fillId="6" borderId="4" xfId="0" applyFont="1" applyFill="1" applyBorder="1" applyAlignment="1" applyProtection="1">
      <alignment horizontal="center"/>
      <protection locked="0"/>
    </xf>
    <xf numFmtId="0" fontId="0" fillId="0" borderId="0" xfId="0" applyProtection="1">
      <protection locked="0"/>
    </xf>
    <xf numFmtId="0" fontId="6" fillId="6" borderId="5" xfId="0" applyFont="1" applyFill="1" applyBorder="1" applyAlignment="1" applyProtection="1">
      <alignment horizontal="center"/>
      <protection locked="0"/>
    </xf>
    <xf numFmtId="0" fontId="0" fillId="6" borderId="6" xfId="0" applyFill="1" applyBorder="1" applyProtection="1">
      <protection locked="0"/>
    </xf>
    <xf numFmtId="0" fontId="0" fillId="6" borderId="5" xfId="0" applyFill="1" applyBorder="1" applyProtection="1">
      <protection locked="0"/>
    </xf>
    <xf numFmtId="0" fontId="7" fillId="6" borderId="5" xfId="0" applyFont="1" applyFill="1" applyBorder="1" applyAlignment="1" applyProtection="1">
      <alignment horizontal="left" indent="1"/>
      <protection locked="0"/>
    </xf>
    <xf numFmtId="0" fontId="0" fillId="6" borderId="5" xfId="0" applyFill="1" applyBorder="1" applyAlignment="1" applyProtection="1">
      <alignment horizontal="left" indent="1"/>
      <protection locked="0"/>
    </xf>
    <xf numFmtId="0" fontId="8" fillId="6" borderId="5" xfId="0" applyFont="1" applyFill="1" applyBorder="1" applyAlignment="1" applyProtection="1">
      <alignment horizontal="left" indent="1"/>
      <protection locked="0"/>
    </xf>
    <xf numFmtId="0" fontId="0" fillId="6" borderId="6" xfId="0" applyFill="1" applyBorder="1" applyAlignment="1" applyProtection="1">
      <alignment horizontal="left" indent="1"/>
      <protection locked="0"/>
    </xf>
    <xf numFmtId="0" fontId="9" fillId="6" borderId="5" xfId="0" applyFont="1" applyFill="1" applyBorder="1" applyAlignment="1" applyProtection="1">
      <alignment horizontal="left" indent="1"/>
      <protection locked="0"/>
    </xf>
    <xf numFmtId="0" fontId="0" fillId="6" borderId="7" xfId="0" applyFill="1" applyBorder="1" applyAlignment="1" applyProtection="1">
      <alignment horizontal="left" indent="1"/>
      <protection locked="0"/>
    </xf>
    <xf numFmtId="0" fontId="0" fillId="6" borderId="5" xfId="0" applyFill="1" applyBorder="1" applyAlignment="1" applyProtection="1">
      <alignment horizontal="left" indent="1"/>
      <protection hidden="1"/>
    </xf>
    <xf numFmtId="0" fontId="0" fillId="6" borderId="5" xfId="0" applyFill="1" applyBorder="1" applyAlignment="1" applyProtection="1">
      <alignment horizontal="left" wrapText="1" indent="1"/>
      <protection hidden="1"/>
    </xf>
    <xf numFmtId="0" fontId="9" fillId="6" borderId="5" xfId="0" applyFont="1" applyFill="1" applyBorder="1" applyAlignment="1" applyProtection="1">
      <alignment horizontal="left" indent="1"/>
      <protection hidden="1"/>
    </xf>
    <xf numFmtId="0" fontId="10" fillId="7" borderId="3" xfId="0" applyFont="1" applyFill="1" applyBorder="1" applyProtection="1">
      <protection locked="0"/>
    </xf>
    <xf numFmtId="0" fontId="0" fillId="0" borderId="3" xfId="0" applyBorder="1" applyProtection="1">
      <protection locked="0"/>
    </xf>
    <xf numFmtId="0" fontId="0" fillId="0" borderId="3" xfId="0" applyBorder="1" applyProtection="1">
      <protection hidden="1"/>
    </xf>
    <xf numFmtId="3" fontId="11" fillId="6" borderId="3" xfId="0" applyNumberFormat="1" applyFont="1" applyFill="1" applyBorder="1" applyAlignment="1" applyProtection="1">
      <alignment horizontal="right"/>
      <protection hidden="1"/>
    </xf>
    <xf numFmtId="3" fontId="0" fillId="0" borderId="0" xfId="0" applyNumberFormat="1" applyProtection="1">
      <protection hidden="1"/>
    </xf>
    <xf numFmtId="0" fontId="10" fillId="7" borderId="3" xfId="0" applyFont="1" applyFill="1" applyBorder="1" applyAlignment="1" applyProtection="1">
      <alignment horizontal="center"/>
      <protection locked="0"/>
    </xf>
    <xf numFmtId="0" fontId="11" fillId="6" borderId="3" xfId="0" applyFont="1" applyFill="1" applyBorder="1" applyAlignment="1" applyProtection="1">
      <alignment horizontal="left"/>
      <protection locked="0"/>
    </xf>
    <xf numFmtId="0" fontId="11" fillId="6" borderId="0" xfId="0" applyFont="1" applyFill="1" applyAlignment="1" applyProtection="1">
      <alignment horizontal="left"/>
      <protection locked="0"/>
    </xf>
    <xf numFmtId="0" fontId="11" fillId="6" borderId="3" xfId="0" applyFont="1" applyFill="1" applyBorder="1" applyAlignment="1" applyProtection="1">
      <alignment horizontal="left"/>
      <protection hidden="1"/>
    </xf>
    <xf numFmtId="3" fontId="11" fillId="6" borderId="0" xfId="0" applyNumberFormat="1" applyFont="1" applyFill="1" applyAlignment="1" applyProtection="1">
      <alignment horizontal="right"/>
      <protection hidden="1"/>
    </xf>
    <xf numFmtId="0" fontId="1" fillId="7" borderId="3" xfId="0" applyFont="1" applyFill="1" applyBorder="1" applyAlignment="1" applyProtection="1">
      <alignment horizontal="center"/>
      <protection locked="0"/>
    </xf>
    <xf numFmtId="3" fontId="0" fillId="0" borderId="3" xfId="0" applyNumberFormat="1" applyBorder="1" applyProtection="1">
      <protection hidden="1"/>
    </xf>
    <xf numFmtId="0" fontId="0" fillId="0" borderId="0" xfId="0" applyAlignment="1" applyProtection="1">
      <alignment horizontal="center"/>
      <protection locked="0"/>
    </xf>
    <xf numFmtId="0" fontId="1" fillId="7" borderId="3" xfId="0" applyFont="1" applyFill="1" applyBorder="1" applyAlignment="1" applyProtection="1">
      <alignment horizontal="center"/>
      <protection hidden="1"/>
    </xf>
    <xf numFmtId="0" fontId="0" fillId="10" borderId="0" xfId="0" applyFill="1" applyProtection="1">
      <protection locked="0"/>
    </xf>
    <xf numFmtId="0" fontId="0" fillId="9" borderId="3" xfId="0" applyFill="1" applyBorder="1" applyProtection="1">
      <protection locked="0"/>
    </xf>
    <xf numFmtId="0" fontId="0" fillId="4" borderId="3" xfId="0" applyFill="1" applyBorder="1" applyProtection="1">
      <protection locked="0"/>
    </xf>
    <xf numFmtId="165" fontId="0" fillId="0" borderId="3" xfId="0" applyNumberFormat="1" applyBorder="1" applyProtection="1">
      <protection locked="0"/>
    </xf>
    <xf numFmtId="0" fontId="0" fillId="3" borderId="3" xfId="0" applyFill="1" applyBorder="1" applyProtection="1">
      <protection locked="0"/>
    </xf>
    <xf numFmtId="0" fontId="0" fillId="5" borderId="1" xfId="0" applyFill="1" applyBorder="1" applyAlignment="1" applyProtection="1">
      <alignment horizontal="center" vertical="center"/>
      <protection locked="0"/>
    </xf>
    <xf numFmtId="0" fontId="0" fillId="5" borderId="0" xfId="0" applyFill="1" applyAlignment="1" applyProtection="1">
      <alignment horizontal="center" vertical="center"/>
      <protection locked="0"/>
    </xf>
    <xf numFmtId="0" fontId="0" fillId="0" borderId="0" xfId="0" applyAlignment="1" applyProtection="1">
      <alignment horizontal="center" vertical="center"/>
      <protection locked="0"/>
    </xf>
    <xf numFmtId="0" fontId="1" fillId="2" borderId="0" xfId="0" applyFont="1" applyFill="1" applyProtection="1">
      <protection locked="0"/>
    </xf>
    <xf numFmtId="0" fontId="4" fillId="2" borderId="0" xfId="0" applyFont="1" applyFill="1" applyAlignment="1" applyProtection="1">
      <alignment horizontal="center" vertical="center"/>
      <protection locked="0"/>
    </xf>
    <xf numFmtId="0" fontId="1" fillId="2" borderId="0" xfId="0" applyFont="1" applyFill="1" applyAlignment="1" applyProtection="1">
      <alignment horizontal="center" vertical="center"/>
      <protection locked="0"/>
    </xf>
    <xf numFmtId="164" fontId="0" fillId="0" borderId="0" xfId="0" applyNumberFormat="1" applyProtection="1">
      <protection locked="0"/>
    </xf>
    <xf numFmtId="165" fontId="0" fillId="0" borderId="0" xfId="0" applyNumberFormat="1" applyProtection="1">
      <protection locked="0"/>
    </xf>
    <xf numFmtId="0" fontId="0" fillId="0" borderId="0" xfId="0" applyProtection="1">
      <protection hidden="1"/>
    </xf>
    <xf numFmtId="165" fontId="0" fillId="0" borderId="0" xfId="0" applyNumberFormat="1" applyProtection="1">
      <protection hidden="1"/>
    </xf>
    <xf numFmtId="0" fontId="0" fillId="0" borderId="8" xfId="0" applyBorder="1" applyProtection="1">
      <protection hidden="1"/>
    </xf>
    <xf numFmtId="3" fontId="11" fillId="6" borderId="8" xfId="0" applyNumberFormat="1" applyFont="1" applyFill="1" applyBorder="1" applyAlignment="1" applyProtection="1">
      <alignment horizontal="right"/>
      <protection hidden="1"/>
    </xf>
    <xf numFmtId="3" fontId="11" fillId="6" borderId="1" xfId="0" applyNumberFormat="1" applyFont="1" applyFill="1" applyBorder="1" applyAlignment="1" applyProtection="1">
      <alignment horizontal="right"/>
      <protection hidden="1"/>
    </xf>
    <xf numFmtId="0" fontId="0" fillId="0" borderId="9" xfId="0" applyBorder="1" applyProtection="1">
      <protection hidden="1"/>
    </xf>
    <xf numFmtId="0" fontId="0" fillId="0" borderId="1" xfId="0" applyBorder="1" applyProtection="1">
      <protection hidden="1"/>
    </xf>
    <xf numFmtId="0" fontId="0" fillId="9" borderId="0" xfId="0" applyFill="1" applyAlignment="1" applyProtection="1">
      <alignment horizontal="center"/>
      <protection locked="0"/>
    </xf>
    <xf numFmtId="0" fontId="3" fillId="5" borderId="1" xfId="0" applyFont="1" applyFill="1" applyBorder="1" applyAlignment="1" applyProtection="1">
      <alignment horizontal="center"/>
      <protection locked="0"/>
    </xf>
    <xf numFmtId="0" fontId="0" fillId="0" borderId="2" xfId="0" applyBorder="1" applyProtection="1">
      <protection locked="0"/>
    </xf>
    <xf numFmtId="0" fontId="0" fillId="0" borderId="0" xfId="0" applyAlignment="1" applyProtection="1">
      <alignment horizontal="center"/>
      <protection locked="0"/>
    </xf>
    <xf numFmtId="0" fontId="2" fillId="0" borderId="0" xfId="0" applyFont="1" applyAlignment="1" applyProtection="1">
      <alignment horizontal="center"/>
      <protection locked="0"/>
    </xf>
    <xf numFmtId="0" fontId="0" fillId="10" borderId="0" xfId="0" applyFill="1" applyAlignment="1" applyProtection="1">
      <alignment horizontal="center"/>
      <protection locked="0"/>
    </xf>
  </cellXfs>
  <cellStyles count="1">
    <cellStyle name="Normal" xfId="0" builtinId="0"/>
  </cellStyles>
  <dxfs count="24">
    <dxf>
      <numFmt numFmtId="0" formatCode="General"/>
      <protection locked="1" hidden="1"/>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numFmt numFmtId="165" formatCode="mmm\-yyyy"/>
      <protection locked="1" hidden="1"/>
    </dxf>
    <dxf>
      <protection locked="1" hidden="1"/>
    </dxf>
    <dxf>
      <protection locked="1" hidden="1"/>
    </dxf>
    <dxf>
      <protection locked="0" hidden="0"/>
    </dxf>
    <dxf>
      <protection locked="0" hidden="0"/>
    </dxf>
    <dxf>
      <protection locked="0" hidden="0"/>
    </dxf>
    <dxf>
      <protection locked="0" hidden="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Monthly Participants</a:t>
            </a:r>
          </a:p>
        </c:rich>
      </c:tx>
      <c:overlay val="1"/>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1"/>
        <c:ser>
          <c:idx val="0"/>
          <c:order val="0"/>
          <c:invertIfNegative val="1"/>
          <c:dPt>
            <c:idx val="0"/>
            <c:invertIfNegative val="1"/>
            <c:bubble3D val="0"/>
            <c:spPr>
              <a:solidFill>
                <a:schemeClr val="accent1"/>
              </a:solidFill>
              <a:ln>
                <a:noFill/>
              </a:ln>
              <a:effectLst/>
            </c:spPr>
            <c:extLst>
              <c:ext xmlns:c16="http://schemas.microsoft.com/office/drawing/2014/chart" uri="{C3380CC4-5D6E-409C-BE32-E72D297353CC}">
                <c16:uniqueId val="{00000001-4712-44B6-9E95-31E0F5A97CE9}"/>
              </c:ext>
            </c:extLst>
          </c:dPt>
          <c:dPt>
            <c:idx val="1"/>
            <c:invertIfNegative val="1"/>
            <c:bubble3D val="0"/>
            <c:spPr>
              <a:solidFill>
                <a:schemeClr val="accent2"/>
              </a:solidFill>
              <a:ln>
                <a:noFill/>
              </a:ln>
              <a:effectLst/>
            </c:spPr>
            <c:extLst>
              <c:ext xmlns:c16="http://schemas.microsoft.com/office/drawing/2014/chart" uri="{C3380CC4-5D6E-409C-BE32-E72D297353CC}">
                <c16:uniqueId val="{00000003-4712-44B6-9E95-31E0F5A97CE9}"/>
              </c:ext>
            </c:extLst>
          </c:dPt>
          <c:dPt>
            <c:idx val="2"/>
            <c:invertIfNegative val="1"/>
            <c:bubble3D val="0"/>
            <c:spPr>
              <a:solidFill>
                <a:schemeClr val="accent3"/>
              </a:solidFill>
              <a:ln>
                <a:noFill/>
              </a:ln>
              <a:effectLst/>
            </c:spPr>
            <c:extLst>
              <c:ext xmlns:c16="http://schemas.microsoft.com/office/drawing/2014/chart" uri="{C3380CC4-5D6E-409C-BE32-E72D297353CC}">
                <c16:uniqueId val="{00000005-4712-44B6-9E95-31E0F5A97CE9}"/>
              </c:ext>
            </c:extLst>
          </c:dPt>
          <c:dPt>
            <c:idx val="3"/>
            <c:invertIfNegative val="1"/>
            <c:bubble3D val="0"/>
            <c:spPr>
              <a:solidFill>
                <a:schemeClr val="accent4"/>
              </a:solidFill>
              <a:ln>
                <a:noFill/>
              </a:ln>
              <a:effectLst/>
            </c:spPr>
            <c:extLst>
              <c:ext xmlns:c16="http://schemas.microsoft.com/office/drawing/2014/chart" uri="{C3380CC4-5D6E-409C-BE32-E72D297353CC}">
                <c16:uniqueId val="{00000007-4712-44B6-9E95-31E0F5A97CE9}"/>
              </c:ext>
            </c:extLst>
          </c:dPt>
          <c:dPt>
            <c:idx val="4"/>
            <c:invertIfNegative val="1"/>
            <c:bubble3D val="0"/>
            <c:spPr>
              <a:solidFill>
                <a:schemeClr val="accent5"/>
              </a:solidFill>
              <a:ln>
                <a:noFill/>
              </a:ln>
              <a:effectLst/>
            </c:spPr>
            <c:extLst>
              <c:ext xmlns:c16="http://schemas.microsoft.com/office/drawing/2014/chart" uri="{C3380CC4-5D6E-409C-BE32-E72D297353CC}">
                <c16:uniqueId val="{00000009-4712-44B6-9E95-31E0F5A97CE9}"/>
              </c:ext>
            </c:extLst>
          </c:dPt>
          <c:dPt>
            <c:idx val="5"/>
            <c:invertIfNegative val="1"/>
            <c:bubble3D val="0"/>
            <c:spPr>
              <a:solidFill>
                <a:schemeClr val="accent6"/>
              </a:solidFill>
              <a:ln>
                <a:noFill/>
              </a:ln>
              <a:effectLst/>
            </c:spPr>
            <c:extLst>
              <c:ext xmlns:c16="http://schemas.microsoft.com/office/drawing/2014/chart" uri="{C3380CC4-5D6E-409C-BE32-E72D297353CC}">
                <c16:uniqueId val="{0000000B-4712-44B6-9E95-31E0F5A97CE9}"/>
              </c:ext>
            </c:extLst>
          </c:dPt>
          <c:dPt>
            <c:idx val="6"/>
            <c:invertIfNegative val="1"/>
            <c:bubble3D val="0"/>
            <c:spPr>
              <a:solidFill>
                <a:schemeClr val="accent1">
                  <a:lumMod val="60000"/>
                </a:schemeClr>
              </a:solidFill>
              <a:ln>
                <a:noFill/>
              </a:ln>
              <a:effectLst/>
            </c:spPr>
            <c:extLst>
              <c:ext xmlns:c16="http://schemas.microsoft.com/office/drawing/2014/chart" uri="{C3380CC4-5D6E-409C-BE32-E72D297353CC}">
                <c16:uniqueId val="{0000000D-4712-44B6-9E95-31E0F5A97CE9}"/>
              </c:ext>
            </c:extLst>
          </c:dPt>
          <c:dPt>
            <c:idx val="7"/>
            <c:invertIfNegative val="1"/>
            <c:bubble3D val="0"/>
            <c:spPr>
              <a:solidFill>
                <a:schemeClr val="accent2">
                  <a:lumMod val="60000"/>
                </a:schemeClr>
              </a:solidFill>
              <a:ln>
                <a:noFill/>
              </a:ln>
              <a:effectLst/>
            </c:spPr>
            <c:extLst>
              <c:ext xmlns:c16="http://schemas.microsoft.com/office/drawing/2014/chart" uri="{C3380CC4-5D6E-409C-BE32-E72D297353CC}">
                <c16:uniqueId val="{0000000F-4712-44B6-9E95-31E0F5A97CE9}"/>
              </c:ext>
            </c:extLst>
          </c:dPt>
          <c:dPt>
            <c:idx val="8"/>
            <c:invertIfNegative val="1"/>
            <c:bubble3D val="0"/>
            <c:spPr>
              <a:solidFill>
                <a:schemeClr val="accent3">
                  <a:lumMod val="60000"/>
                </a:schemeClr>
              </a:solidFill>
              <a:ln>
                <a:noFill/>
              </a:ln>
              <a:effectLst/>
            </c:spPr>
            <c:extLst>
              <c:ext xmlns:c16="http://schemas.microsoft.com/office/drawing/2014/chart" uri="{C3380CC4-5D6E-409C-BE32-E72D297353CC}">
                <c16:uniqueId val="{00000011-4712-44B6-9E95-31E0F5A97CE9}"/>
              </c:ext>
            </c:extLst>
          </c:dPt>
          <c:dPt>
            <c:idx val="9"/>
            <c:invertIfNegative val="1"/>
            <c:bubble3D val="0"/>
            <c:spPr>
              <a:solidFill>
                <a:schemeClr val="accent4">
                  <a:lumMod val="60000"/>
                </a:schemeClr>
              </a:solidFill>
              <a:ln>
                <a:noFill/>
              </a:ln>
              <a:effectLst/>
            </c:spPr>
            <c:extLst>
              <c:ext xmlns:c16="http://schemas.microsoft.com/office/drawing/2014/chart" uri="{C3380CC4-5D6E-409C-BE32-E72D297353CC}">
                <c16:uniqueId val="{00000013-4712-44B6-9E95-31E0F5A97CE9}"/>
              </c:ext>
            </c:extLst>
          </c:dPt>
          <c:dPt>
            <c:idx val="10"/>
            <c:invertIfNegative val="1"/>
            <c:bubble3D val="0"/>
            <c:spPr>
              <a:solidFill>
                <a:schemeClr val="accent5">
                  <a:lumMod val="60000"/>
                </a:schemeClr>
              </a:solidFill>
              <a:ln>
                <a:noFill/>
              </a:ln>
              <a:effectLst/>
            </c:spPr>
            <c:extLst>
              <c:ext xmlns:c16="http://schemas.microsoft.com/office/drawing/2014/chart" uri="{C3380CC4-5D6E-409C-BE32-E72D297353CC}">
                <c16:uniqueId val="{00000015-4712-44B6-9E95-31E0F5A97CE9}"/>
              </c:ext>
            </c:extLst>
          </c:dPt>
          <c:dPt>
            <c:idx val="11"/>
            <c:invertIfNegative val="1"/>
            <c:bubble3D val="0"/>
            <c:spPr>
              <a:solidFill>
                <a:schemeClr val="accent6">
                  <a:lumMod val="60000"/>
                </a:schemeClr>
              </a:solidFill>
              <a:ln>
                <a:noFill/>
              </a:ln>
              <a:effectLst/>
            </c:spPr>
            <c:extLst>
              <c:ext xmlns:c16="http://schemas.microsoft.com/office/drawing/2014/chart" uri="{C3380CC4-5D6E-409C-BE32-E72D297353CC}">
                <c16:uniqueId val="{00000017-4712-44B6-9E95-31E0F5A97CE9}"/>
              </c:ext>
            </c:extLst>
          </c:dPt>
          <c:dPt>
            <c:idx val="12"/>
            <c:invertIfNegative val="1"/>
            <c:bubble3D val="0"/>
            <c:spPr>
              <a:solidFill>
                <a:schemeClr val="accent1">
                  <a:lumMod val="80000"/>
                  <a:lumOff val="20000"/>
                </a:schemeClr>
              </a:solidFill>
              <a:ln>
                <a:noFill/>
              </a:ln>
              <a:effectLst/>
            </c:spPr>
            <c:extLst>
              <c:ext xmlns:c16="http://schemas.microsoft.com/office/drawing/2014/chart" uri="{C3380CC4-5D6E-409C-BE32-E72D297353CC}">
                <c16:uniqueId val="{00000019-4712-44B6-9E95-31E0F5A97C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Weekly_Monthly_Summary!$A$2:$A$14</c:f>
              <c:strCache>
                <c:ptCount val="13"/>
                <c:pt idx="0">
                  <c:v>Month</c:v>
                </c:pt>
                <c:pt idx="1">
                  <c:v>Jan-2026</c:v>
                </c:pt>
                <c:pt idx="2">
                  <c:v>Feb-2026</c:v>
                </c:pt>
                <c:pt idx="3">
                  <c:v>Mar-2026</c:v>
                </c:pt>
                <c:pt idx="4">
                  <c:v>Apr-2026</c:v>
                </c:pt>
                <c:pt idx="5">
                  <c:v>May-2026</c:v>
                </c:pt>
                <c:pt idx="6">
                  <c:v>Jun-2026</c:v>
                </c:pt>
                <c:pt idx="7">
                  <c:v>Jul-2026</c:v>
                </c:pt>
                <c:pt idx="8">
                  <c:v>Aug-2026</c:v>
                </c:pt>
                <c:pt idx="9">
                  <c:v>Sep-2026</c:v>
                </c:pt>
                <c:pt idx="10">
                  <c:v>Oct-2026</c:v>
                </c:pt>
                <c:pt idx="11">
                  <c:v>Nov-2026</c:v>
                </c:pt>
                <c:pt idx="12">
                  <c:v>Dec-2026</c:v>
                </c:pt>
              </c:strCache>
            </c:strRef>
          </c:cat>
          <c:val>
            <c:numRef>
              <c:f>Weekly_Monthly_Summary!$B$2:$B$14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ED7F-4031-B13D-9CBF34F52F36}"/>
            </c:ext>
          </c:extLst>
        </c:ser>
        <c:dLbls>
          <c:dLblPos val="ctr"/>
          <c:showLegendKey val="0"/>
          <c:showVal val="1"/>
          <c:showCatName val="0"/>
          <c:showSerName val="0"/>
          <c:showPercent val="0"/>
          <c:showBubbleSize val="0"/>
        </c:dLbls>
        <c:gapWidth val="79"/>
        <c:overlap val="100"/>
        <c:axId val="10"/>
        <c:axId val="100"/>
      </c:barChart>
      <c:catAx>
        <c:axId val="1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spPr>
        <a:noFill/>
        <a:ln>
          <a:noFill/>
        </a:ln>
        <a:effectLst/>
      </c:spPr>
    </c:plotArea>
    <c:plotVisOnly val="1"/>
    <c:dispBlanksAs val="gap"/>
    <c:showDLblsOverMax val="1"/>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Participants by Gender</a:t>
            </a:r>
          </a:p>
        </c:rich>
      </c:tx>
      <c:layout>
        <c:manualLayout>
          <c:xMode val="edge"/>
          <c:yMode val="edge"/>
          <c:x val="0.55629740740740741"/>
          <c:y val="1.1869436201780416E-2"/>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4ED-4087-B211-0E2861D0436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4ED-4087-B211-0E2861D0436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4ED-4087-B211-0E2861D0436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Weekly_Monthly_Summary!$D$3:$D$5</c:f>
              <c:strCache>
                <c:ptCount val="3"/>
                <c:pt idx="0">
                  <c:v>Male</c:v>
                </c:pt>
                <c:pt idx="1">
                  <c:v>Female</c:v>
                </c:pt>
                <c:pt idx="2">
                  <c:v>Other</c:v>
                </c:pt>
              </c:strCache>
            </c:strRef>
          </c:cat>
          <c:val>
            <c:numRef>
              <c:f>Weekly_Monthly_Summary!$E$3:$E$5</c:f>
              <c:numCache>
                <c:formatCode>#,##0</c:formatCode>
                <c:ptCount val="3"/>
                <c:pt idx="0">
                  <c:v>0</c:v>
                </c:pt>
                <c:pt idx="1">
                  <c:v>0</c:v>
                </c:pt>
                <c:pt idx="2">
                  <c:v>0</c:v>
                </c:pt>
              </c:numCache>
            </c:numRef>
          </c:val>
          <c:extLst>
            <c:ext xmlns:c16="http://schemas.microsoft.com/office/drawing/2014/chart" uri="{C3380CC4-5D6E-409C-BE32-E72D297353CC}">
              <c16:uniqueId val="{00000000-0729-4EB6-87D7-8F78341FB13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Pivot_Thematic!$B$2</c:f>
              <c:strCache>
                <c:ptCount val="1"/>
                <c:pt idx="0">
                  <c:v>Participants</c:v>
                </c:pt>
              </c:strCache>
            </c:strRef>
          </c:tx>
          <c:spPr>
            <a:solidFill>
              <a:schemeClr val="accent1"/>
            </a:solidFill>
            <a:ln>
              <a:noFill/>
            </a:ln>
            <a:effectLst/>
          </c:spPr>
          <c:invertIfNegative val="0"/>
          <c:cat>
            <c:numRef>
              <c:f>Pivot_Thematic!$A$3:$A$8</c:f>
              <c:numCache>
                <c:formatCode>General</c:formatCode>
                <c:ptCount val="6"/>
                <c:pt idx="0">
                  <c:v>0</c:v>
                </c:pt>
              </c:numCache>
            </c:numRef>
          </c:cat>
          <c:val>
            <c:numRef>
              <c:f>Pivot_Thematic!$B$3:$B$8</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E9BC-42F1-8645-11B7B1754F0E}"/>
            </c:ext>
          </c:extLst>
        </c:ser>
        <c:dLbls>
          <c:showLegendKey val="0"/>
          <c:showVal val="0"/>
          <c:showCatName val="0"/>
          <c:showSerName val="0"/>
          <c:showPercent val="0"/>
          <c:showBubbleSize val="0"/>
        </c:dLbls>
        <c:gapWidth val="182"/>
        <c:axId val="1732983815"/>
        <c:axId val="1745762311"/>
      </c:barChart>
      <c:catAx>
        <c:axId val="1732983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762311"/>
        <c:crosses val="autoZero"/>
        <c:auto val="1"/>
        <c:lblAlgn val="ctr"/>
        <c:lblOffset val="100"/>
        <c:noMultiLvlLbl val="0"/>
      </c:catAx>
      <c:valAx>
        <c:axId val="17457623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983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Pivot_Project!$B$2</c:f>
              <c:strCache>
                <c:ptCount val="1"/>
                <c:pt idx="0">
                  <c:v>Participants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Pivot_Project!$A$3:$A$7</c:f>
              <c:numCache>
                <c:formatCode>General</c:formatCode>
                <c:ptCount val="5"/>
                <c:pt idx="0">
                  <c:v>0</c:v>
                </c:pt>
              </c:numCache>
            </c:numRef>
          </c:cat>
          <c:val>
            <c:numRef>
              <c:f>Pivot_Project!$B$3:$B$7</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0-410D-439F-9012-E8ACC8AB60AE}"/>
            </c:ext>
          </c:extLst>
        </c:ser>
        <c:dLbls>
          <c:showLegendKey val="0"/>
          <c:showVal val="0"/>
          <c:showCatName val="0"/>
          <c:showSerName val="0"/>
          <c:showPercent val="0"/>
          <c:showBubbleSize val="0"/>
        </c:dLbls>
        <c:marker val="1"/>
        <c:smooth val="0"/>
        <c:axId val="851328520"/>
        <c:axId val="1584202760"/>
      </c:lineChart>
      <c:catAx>
        <c:axId val="851328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202760"/>
        <c:crosses val="autoZero"/>
        <c:auto val="1"/>
        <c:lblAlgn val="ctr"/>
        <c:lblOffset val="100"/>
        <c:noMultiLvlLbl val="0"/>
      </c:catAx>
      <c:valAx>
        <c:axId val="15842027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328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tx>
            <c:strRef>
              <c:f>Pivot_Age_Group!$B$2</c:f>
              <c:strCache>
                <c:ptCount val="1"/>
                <c:pt idx="0">
                  <c:v>Participants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E10-4957-90F5-ED81E862369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E10-4957-90F5-ED81E862369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E10-4957-90F5-ED81E8623699}"/>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numRef>
              <c:f>Pivot_Age_Group!$A$3:$A$5</c:f>
              <c:numCache>
                <c:formatCode>General</c:formatCode>
                <c:ptCount val="3"/>
                <c:pt idx="0">
                  <c:v>0</c:v>
                </c:pt>
              </c:numCache>
            </c:numRef>
          </c:cat>
          <c:val>
            <c:numRef>
              <c:f>Pivot_Age_Group!$B$3:$B$5</c:f>
              <c:numCache>
                <c:formatCode>#,##0</c:formatCode>
                <c:ptCount val="3"/>
                <c:pt idx="0">
                  <c:v>0</c:v>
                </c:pt>
                <c:pt idx="1">
                  <c:v>0</c:v>
                </c:pt>
                <c:pt idx="2">
                  <c:v>0</c:v>
                </c:pt>
              </c:numCache>
            </c:numRef>
          </c:val>
          <c:extLst>
            <c:ext xmlns:c16="http://schemas.microsoft.com/office/drawing/2014/chart" uri="{C3380CC4-5D6E-409C-BE32-E72D297353CC}">
              <c16:uniqueId val="{00000000-259A-475C-8EFB-8381D34D217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Monthly Trend</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US" sz="1000" b="1" i="0" u="none" strike="noStrike" kern="1200" cap="none" spc="0" normalizeH="0" baseline="0" noProof="0">
              <a:ln>
                <a:noFill/>
              </a:ln>
              <a:solidFill>
                <a:sysClr val="windowText" lastClr="000000"/>
              </a:solidFill>
              <a:effectLst/>
              <a:uLnTx/>
              <a:uFillTx/>
              <a:latin typeface="Calibri"/>
            </a:rPr>
            <a:t>Monthly Trend</a:t>
          </a:r>
        </a:p>
      </cx:txPr>
    </cx:title>
    <cx:plotArea>
      <cx:plotAreaRegion>
        <cx:series layoutId="clusteredColumn" uniqueId="{E82F2FD9-8E87-4098-B650-2E4B1627E466}">
          <cx:dataId val="0"/>
          <cx:layoutPr>
            <cx:aggregation/>
          </cx:layoutPr>
          <cx:axisId val="1"/>
        </cx:series>
        <cx:series layoutId="paretoLine" ownerIdx="0" uniqueId="{F9548CA8-F17F-4B2E-91FB-FCCCF9581600}">
          <cx:axisId val="2"/>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t"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6</xdr:col>
      <xdr:colOff>0</xdr:colOff>
      <xdr:row>1</xdr:row>
      <xdr:rowOff>19050</xdr:rowOff>
    </xdr:from>
    <xdr:ext cx="5400000" cy="2159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88900</xdr:colOff>
      <xdr:row>13</xdr:row>
      <xdr:rowOff>82550</xdr:rowOff>
    </xdr:from>
    <xdr:ext cx="5400000" cy="2139950"/>
    <xdr:graphicFrame macro="">
      <xdr:nvGraphicFramePr>
        <xdr:cNvPr id="3" name="Chart 2">
          <a:extLst>
            <a:ext uri="{FF2B5EF4-FFF2-40B4-BE49-F238E27FC236}">
              <a16:creationId xmlns:a16="http://schemas.microsoft.com/office/drawing/2014/main" id="{00000000-0008-0000-0100-000003000000}"/>
            </a:ext>
            <a:ext uri="{147F2762-F138-4A5C-976F-8EAC2B608ADB}">
              <a16:predDERef xmlns:a16="http://schemas.microsoft.com/office/drawing/2014/main" pre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3</xdr:col>
      <xdr:colOff>57150</xdr:colOff>
      <xdr:row>0</xdr:row>
      <xdr:rowOff>257175</xdr:rowOff>
    </xdr:from>
    <xdr:ext cx="5400000" cy="2700000"/>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432050" y="257175"/>
              <a:ext cx="5400000" cy="2700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2</xdr:col>
      <xdr:colOff>581025</xdr:colOff>
      <xdr:row>1</xdr:row>
      <xdr:rowOff>0</xdr:rowOff>
    </xdr:from>
    <xdr:to>
      <xdr:col>10</xdr:col>
      <xdr:colOff>276225</xdr:colOff>
      <xdr:row>15</xdr:row>
      <xdr:rowOff>142875</xdr:rowOff>
    </xdr:to>
    <xdr:graphicFrame macro="">
      <xdr:nvGraphicFramePr>
        <xdr:cNvPr id="2" name="Chart 1">
          <a:extLst>
            <a:ext uri="{FF2B5EF4-FFF2-40B4-BE49-F238E27FC236}">
              <a16:creationId xmlns:a16="http://schemas.microsoft.com/office/drawing/2014/main" id="{2CCE2E4A-C45C-7CD9-D313-CB81216B94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600074</xdr:colOff>
      <xdr:row>1</xdr:row>
      <xdr:rowOff>0</xdr:rowOff>
    </xdr:from>
    <xdr:to>
      <xdr:col>10</xdr:col>
      <xdr:colOff>596899</xdr:colOff>
      <xdr:row>15</xdr:row>
      <xdr:rowOff>9525</xdr:rowOff>
    </xdr:to>
    <xdr:graphicFrame macro="">
      <xdr:nvGraphicFramePr>
        <xdr:cNvPr id="2" name="Chart 1">
          <a:extLst>
            <a:ext uri="{FF2B5EF4-FFF2-40B4-BE49-F238E27FC236}">
              <a16:creationId xmlns:a16="http://schemas.microsoft.com/office/drawing/2014/main" id="{77E16725-EDF8-74B0-5D16-6CF0C7C575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304800</xdr:colOff>
      <xdr:row>1</xdr:row>
      <xdr:rowOff>0</xdr:rowOff>
    </xdr:from>
    <xdr:to>
      <xdr:col>10</xdr:col>
      <xdr:colOff>0</xdr:colOff>
      <xdr:row>15</xdr:row>
      <xdr:rowOff>171450</xdr:rowOff>
    </xdr:to>
    <xdr:graphicFrame macro="">
      <xdr:nvGraphicFramePr>
        <xdr:cNvPr id="2" name="Chart 1">
          <a:extLst>
            <a:ext uri="{FF2B5EF4-FFF2-40B4-BE49-F238E27FC236}">
              <a16:creationId xmlns:a16="http://schemas.microsoft.com/office/drawing/2014/main" id="{35E0C438-3ED5-0D61-25D0-9DF9407AC9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13</v>
    <v>3</v>
  </rv>
  <rv s="1">
    <v>13</v>
    <v>1</v>
  </rv>
  <rv s="0">
    <fb t="e">#NAME?</fb>
    <v>4</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essionData" displayName="SessionData" ref="A2:U201" headerRowDxfId="23" dataDxfId="22" totalsRowDxfId="21">
  <autoFilter ref="A2:U201"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00000000-0010-0000-0000-000001000000}" name="Date" dataDxfId="20"/>
    <tableColumn id="2" xr3:uid="{00000000-0010-0000-0000-000002000000}" name="Week" dataDxfId="19"/>
    <tableColumn id="3" xr3:uid="{00000000-0010-0000-0000-000003000000}" name="Month" dataDxfId="18"/>
    <tableColumn id="19" xr3:uid="{BC59AFFE-8739-4FD8-BD31-326E18E85C5D}" name="Division - Subdivision" dataDxfId="17">
      <calculatedColumnFormula>IFERROR(INDEX(Sheet1!$A$2:$A$104,MATCH(SessionData[[#This Row],[Communities]],Sheet1!$B$2:$B$104,0)),"")</calculatedColumnFormula>
    </tableColumn>
    <tableColumn id="4" xr3:uid="{00000000-0010-0000-0000-000004000000}" name="Communities" dataDxfId="16"/>
    <tableColumn id="5" xr3:uid="{00000000-0010-0000-0000-000005000000}" name="Thematic Area" dataDxfId="15"/>
    <tableColumn id="6" xr3:uid="{00000000-0010-0000-0000-000006000000}" name="Age Group" dataDxfId="14"/>
    <tableColumn id="8" xr3:uid="{03A9C5F2-B9E0-43F6-A8F9-F1CB97B2A6CF}" name="Project" dataDxfId="13"/>
    <tableColumn id="7" xr3:uid="{00000000-0010-0000-0000-000007000000}" name="MALE" dataDxfId="12"/>
    <tableColumn id="12" xr3:uid="{00000000-0010-0000-0000-00000C000000}" name="FEMALE" dataDxfId="11"/>
    <tableColumn id="16" xr3:uid="{00000000-0010-0000-0000-000010000000}" name="MALE:" dataDxfId="10"/>
    <tableColumn id="11" xr3:uid="{00000000-0010-0000-0000-00000B000000}" name="FEMALE:" dataDxfId="9"/>
    <tableColumn id="9" xr3:uid="{00000000-0010-0000-0000-000009000000}" name="MALE." dataDxfId="8"/>
    <tableColumn id="17" xr3:uid="{00000000-0010-0000-0000-000011000000}" name="FEMALE." dataDxfId="7"/>
    <tableColumn id="13" xr3:uid="{00000000-0010-0000-0000-00000D000000}" name="MALE-" dataDxfId="6"/>
    <tableColumn id="18" xr3:uid="{00000000-0010-0000-0000-000012000000}" name="FEMALE-" dataDxfId="5"/>
    <tableColumn id="14" xr3:uid="{00000000-0010-0000-0000-00000E000000}" name="FEMALE_" dataDxfId="4"/>
    <tableColumn id="15" xr3:uid="{00000000-0010-0000-0000-00000F000000}" name="MALE_" dataDxfId="3"/>
    <tableColumn id="22" xr3:uid="{9F65592E-E1EA-4D67-99F3-A9AF747F86A9}" name="WOMEN" dataDxfId="2"/>
    <tableColumn id="23" xr3:uid="{FE16AB92-6598-4686-9F4A-1E5E86A66322}" name="MEN" dataDxfId="1"/>
    <tableColumn id="10" xr3:uid="{00000000-0010-0000-0000-00000A000000}" name="Participants" dataDxfId="0">
      <calculatedColumnFormula>SUM(SessionData[[#This Row],[MALE]:[MEN]])</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CE764-DE1C-435E-9DA6-18C7DA80E234}">
  <dimension ref="A1:C104"/>
  <sheetViews>
    <sheetView topLeftCell="A92" workbookViewId="0">
      <selection activeCell="B105" sqref="B105"/>
    </sheetView>
  </sheetViews>
  <sheetFormatPr defaultRowHeight="14.5" x14ac:dyDescent="0.35"/>
  <cols>
    <col min="1" max="1" width="25.1796875" customWidth="1"/>
    <col min="2" max="2" width="31.54296875" customWidth="1"/>
  </cols>
  <sheetData>
    <row r="1" spans="1:2" x14ac:dyDescent="0.35">
      <c r="A1" s="6" t="s">
        <v>0</v>
      </c>
      <c r="B1" s="6" t="s">
        <v>1</v>
      </c>
    </row>
    <row r="2" spans="1:2" x14ac:dyDescent="0.35">
      <c r="A2" s="4" t="s">
        <v>2</v>
      </c>
      <c r="B2" s="2" t="s">
        <v>3</v>
      </c>
    </row>
    <row r="3" spans="1:2" x14ac:dyDescent="0.35">
      <c r="A3" s="4" t="s">
        <v>2</v>
      </c>
      <c r="B3" s="2" t="s">
        <v>4</v>
      </c>
    </row>
    <row r="4" spans="1:2" x14ac:dyDescent="0.35">
      <c r="A4" s="4" t="s">
        <v>2</v>
      </c>
      <c r="B4" s="2" t="s">
        <v>5</v>
      </c>
    </row>
    <row r="5" spans="1:2" x14ac:dyDescent="0.35">
      <c r="A5" s="4" t="s">
        <v>2</v>
      </c>
      <c r="B5" s="2" t="s">
        <v>6</v>
      </c>
    </row>
    <row r="6" spans="1:2" x14ac:dyDescent="0.35">
      <c r="A6" s="4" t="s">
        <v>2</v>
      </c>
      <c r="B6" s="2" t="s">
        <v>7</v>
      </c>
    </row>
    <row r="7" spans="1:2" x14ac:dyDescent="0.35">
      <c r="A7" s="4" t="s">
        <v>2</v>
      </c>
      <c r="B7" s="2" t="s">
        <v>8</v>
      </c>
    </row>
    <row r="8" spans="1:2" x14ac:dyDescent="0.35">
      <c r="A8" s="4" t="s">
        <v>2</v>
      </c>
      <c r="B8" s="2" t="s">
        <v>9</v>
      </c>
    </row>
    <row r="9" spans="1:2" x14ac:dyDescent="0.35">
      <c r="A9" s="4" t="s">
        <v>2</v>
      </c>
      <c r="B9" s="2" t="s">
        <v>10</v>
      </c>
    </row>
    <row r="10" spans="1:2" x14ac:dyDescent="0.35">
      <c r="A10" s="4" t="s">
        <v>2</v>
      </c>
      <c r="B10" s="2" t="s">
        <v>11</v>
      </c>
    </row>
    <row r="11" spans="1:2" x14ac:dyDescent="0.35">
      <c r="A11" s="4" t="s">
        <v>2</v>
      </c>
      <c r="B11" s="2" t="s">
        <v>12</v>
      </c>
    </row>
    <row r="12" spans="1:2" x14ac:dyDescent="0.35">
      <c r="A12" s="4" t="s">
        <v>2</v>
      </c>
      <c r="B12" s="2" t="s">
        <v>13</v>
      </c>
    </row>
    <row r="13" spans="1:2" x14ac:dyDescent="0.35">
      <c r="A13" s="4" t="s">
        <v>2</v>
      </c>
      <c r="B13" s="2" t="s">
        <v>14</v>
      </c>
    </row>
    <row r="14" spans="1:2" x14ac:dyDescent="0.35">
      <c r="A14" s="4" t="s">
        <v>2</v>
      </c>
      <c r="B14" s="2" t="s">
        <v>15</v>
      </c>
    </row>
    <row r="15" spans="1:2" x14ac:dyDescent="0.35">
      <c r="A15" s="4" t="s">
        <v>2</v>
      </c>
      <c r="B15" s="2" t="s">
        <v>16</v>
      </c>
    </row>
    <row r="16" spans="1:2" x14ac:dyDescent="0.35">
      <c r="A16" s="4" t="s">
        <v>2</v>
      </c>
      <c r="B16" s="2" t="s">
        <v>17</v>
      </c>
    </row>
    <row r="17" spans="1:2" x14ac:dyDescent="0.35">
      <c r="A17" s="4" t="s">
        <v>2</v>
      </c>
      <c r="B17" s="2" t="s">
        <v>18</v>
      </c>
    </row>
    <row r="18" spans="1:2" x14ac:dyDescent="0.35">
      <c r="A18" s="4" t="s">
        <v>2</v>
      </c>
      <c r="B18" s="2" t="s">
        <v>19</v>
      </c>
    </row>
    <row r="19" spans="1:2" x14ac:dyDescent="0.35">
      <c r="A19" s="4" t="s">
        <v>2</v>
      </c>
      <c r="B19" s="2" t="s">
        <v>20</v>
      </c>
    </row>
    <row r="20" spans="1:2" x14ac:dyDescent="0.35">
      <c r="A20" s="4" t="s">
        <v>2</v>
      </c>
      <c r="B20" s="2" t="s">
        <v>21</v>
      </c>
    </row>
    <row r="21" spans="1:2" x14ac:dyDescent="0.35">
      <c r="A21" s="4" t="s">
        <v>2</v>
      </c>
      <c r="B21" s="2" t="s">
        <v>22</v>
      </c>
    </row>
    <row r="22" spans="1:2" x14ac:dyDescent="0.35">
      <c r="A22" s="4" t="s">
        <v>2</v>
      </c>
      <c r="B22" s="2" t="s">
        <v>23</v>
      </c>
    </row>
    <row r="23" spans="1:2" x14ac:dyDescent="0.35">
      <c r="A23" s="4" t="s">
        <v>2</v>
      </c>
      <c r="B23" s="2" t="s">
        <v>24</v>
      </c>
    </row>
    <row r="24" spans="1:2" x14ac:dyDescent="0.35">
      <c r="A24" s="4" t="s">
        <v>2</v>
      </c>
      <c r="B24" s="2" t="s">
        <v>25</v>
      </c>
    </row>
    <row r="25" spans="1:2" x14ac:dyDescent="0.35">
      <c r="A25" s="4" t="s">
        <v>2</v>
      </c>
      <c r="B25" s="2" t="s">
        <v>26</v>
      </c>
    </row>
    <row r="26" spans="1:2" x14ac:dyDescent="0.35">
      <c r="A26" s="4" t="s">
        <v>2</v>
      </c>
      <c r="B26" s="2" t="s">
        <v>27</v>
      </c>
    </row>
    <row r="27" spans="1:2" x14ac:dyDescent="0.35">
      <c r="A27" s="4" t="s">
        <v>2</v>
      </c>
      <c r="B27" s="3" t="s">
        <v>28</v>
      </c>
    </row>
    <row r="28" spans="1:2" x14ac:dyDescent="0.35">
      <c r="A28" s="4" t="s">
        <v>2</v>
      </c>
      <c r="B28" s="2" t="s">
        <v>29</v>
      </c>
    </row>
    <row r="29" spans="1:2" x14ac:dyDescent="0.35">
      <c r="A29" s="4" t="s">
        <v>2</v>
      </c>
      <c r="B29" s="2" t="s">
        <v>30</v>
      </c>
    </row>
    <row r="30" spans="1:2" x14ac:dyDescent="0.35">
      <c r="A30" s="1" t="s">
        <v>31</v>
      </c>
      <c r="B30" s="2" t="s">
        <v>32</v>
      </c>
    </row>
    <row r="31" spans="1:2" x14ac:dyDescent="0.35">
      <c r="A31" s="1" t="s">
        <v>31</v>
      </c>
      <c r="B31" s="2" t="s">
        <v>33</v>
      </c>
    </row>
    <row r="32" spans="1:2" x14ac:dyDescent="0.35">
      <c r="A32" s="1" t="s">
        <v>31</v>
      </c>
      <c r="B32" s="3" t="s">
        <v>34</v>
      </c>
    </row>
    <row r="33" spans="1:2" x14ac:dyDescent="0.35">
      <c r="A33" s="1" t="s">
        <v>31</v>
      </c>
      <c r="B33" s="2" t="s">
        <v>35</v>
      </c>
    </row>
    <row r="34" spans="1:2" x14ac:dyDescent="0.35">
      <c r="A34" s="1" t="s">
        <v>31</v>
      </c>
      <c r="B34" s="9" t="s">
        <v>36</v>
      </c>
    </row>
    <row r="35" spans="1:2" x14ac:dyDescent="0.35">
      <c r="A35" s="1" t="s">
        <v>37</v>
      </c>
      <c r="B35" s="2" t="s">
        <v>38</v>
      </c>
    </row>
    <row r="36" spans="1:2" x14ac:dyDescent="0.35">
      <c r="A36" s="1" t="s">
        <v>37</v>
      </c>
      <c r="B36" s="2" t="s">
        <v>39</v>
      </c>
    </row>
    <row r="37" spans="1:2" x14ac:dyDescent="0.35">
      <c r="A37" s="1" t="s">
        <v>37</v>
      </c>
      <c r="B37" s="2" t="s">
        <v>40</v>
      </c>
    </row>
    <row r="38" spans="1:2" x14ac:dyDescent="0.35">
      <c r="A38" s="1" t="s">
        <v>37</v>
      </c>
      <c r="B38" s="2" t="s">
        <v>41</v>
      </c>
    </row>
    <row r="39" spans="1:2" x14ac:dyDescent="0.35">
      <c r="A39" s="1" t="s">
        <v>37</v>
      </c>
      <c r="B39" s="2" t="s">
        <v>42</v>
      </c>
    </row>
    <row r="40" spans="1:2" x14ac:dyDescent="0.35">
      <c r="A40" s="1" t="s">
        <v>37</v>
      </c>
      <c r="B40" s="2" t="s">
        <v>43</v>
      </c>
    </row>
    <row r="41" spans="1:2" x14ac:dyDescent="0.35">
      <c r="A41" s="1" t="s">
        <v>44</v>
      </c>
      <c r="B41" s="2" t="s">
        <v>45</v>
      </c>
    </row>
    <row r="42" spans="1:2" x14ac:dyDescent="0.35">
      <c r="A42" s="1" t="s">
        <v>44</v>
      </c>
      <c r="B42" s="2" t="s">
        <v>46</v>
      </c>
    </row>
    <row r="43" spans="1:2" x14ac:dyDescent="0.35">
      <c r="A43" s="1" t="s">
        <v>44</v>
      </c>
      <c r="B43" s="2" t="s">
        <v>47</v>
      </c>
    </row>
    <row r="44" spans="1:2" x14ac:dyDescent="0.35">
      <c r="A44" s="1" t="s">
        <v>44</v>
      </c>
      <c r="B44" s="2" t="s">
        <v>48</v>
      </c>
    </row>
    <row r="45" spans="1:2" x14ac:dyDescent="0.35">
      <c r="A45" s="1" t="s">
        <v>44</v>
      </c>
      <c r="B45" s="2" t="s">
        <v>49</v>
      </c>
    </row>
    <row r="46" spans="1:2" x14ac:dyDescent="0.35">
      <c r="A46" s="1" t="s">
        <v>50</v>
      </c>
      <c r="B46" s="2" t="s">
        <v>51</v>
      </c>
    </row>
    <row r="47" spans="1:2" x14ac:dyDescent="0.35">
      <c r="A47" s="1" t="s">
        <v>50</v>
      </c>
      <c r="B47" s="2" t="s">
        <v>52</v>
      </c>
    </row>
    <row r="48" spans="1:2" x14ac:dyDescent="0.35">
      <c r="A48" s="1" t="s">
        <v>50</v>
      </c>
      <c r="B48" s="2" t="s">
        <v>53</v>
      </c>
    </row>
    <row r="49" spans="1:3" x14ac:dyDescent="0.35">
      <c r="A49" s="1" t="s">
        <v>50</v>
      </c>
      <c r="B49" s="2" t="s">
        <v>54</v>
      </c>
    </row>
    <row r="50" spans="1:3" x14ac:dyDescent="0.35">
      <c r="A50" s="1" t="s">
        <v>50</v>
      </c>
      <c r="B50" s="2" t="s">
        <v>55</v>
      </c>
    </row>
    <row r="51" spans="1:3" x14ac:dyDescent="0.35">
      <c r="A51" s="1" t="s">
        <v>50</v>
      </c>
      <c r="B51" s="2" t="s">
        <v>56</v>
      </c>
    </row>
    <row r="52" spans="1:3" x14ac:dyDescent="0.35">
      <c r="A52" s="1" t="s">
        <v>50</v>
      </c>
      <c r="B52" s="2" t="s">
        <v>57</v>
      </c>
    </row>
    <row r="53" spans="1:3" x14ac:dyDescent="0.35">
      <c r="A53" s="1" t="s">
        <v>50</v>
      </c>
      <c r="B53" s="2" t="s">
        <v>58</v>
      </c>
    </row>
    <row r="54" spans="1:3" x14ac:dyDescent="0.35">
      <c r="A54" s="1" t="s">
        <v>59</v>
      </c>
      <c r="B54" s="2" t="s">
        <v>60</v>
      </c>
    </row>
    <row r="55" spans="1:3" x14ac:dyDescent="0.35">
      <c r="A55" s="1" t="s">
        <v>59</v>
      </c>
      <c r="B55" s="2" t="s">
        <v>61</v>
      </c>
    </row>
    <row r="56" spans="1:3" x14ac:dyDescent="0.35">
      <c r="A56" s="1" t="s">
        <v>59</v>
      </c>
      <c r="B56" s="2" t="s">
        <v>62</v>
      </c>
    </row>
    <row r="57" spans="1:3" x14ac:dyDescent="0.35">
      <c r="A57" s="1" t="s">
        <v>63</v>
      </c>
      <c r="B57" s="2" t="s">
        <v>64</v>
      </c>
    </row>
    <row r="58" spans="1:3" x14ac:dyDescent="0.35">
      <c r="A58" s="1" t="s">
        <v>63</v>
      </c>
      <c r="B58" s="2" t="s">
        <v>65</v>
      </c>
    </row>
    <row r="59" spans="1:3" x14ac:dyDescent="0.35">
      <c r="A59" s="1" t="s">
        <v>63</v>
      </c>
      <c r="B59" s="2" t="s">
        <v>66</v>
      </c>
    </row>
    <row r="60" spans="1:3" x14ac:dyDescent="0.35">
      <c r="A60" s="1" t="s">
        <v>63</v>
      </c>
      <c r="B60" s="2" t="s">
        <v>67</v>
      </c>
      <c r="C60" s="7"/>
    </row>
    <row r="61" spans="1:3" x14ac:dyDescent="0.35">
      <c r="A61" s="1" t="s">
        <v>68</v>
      </c>
      <c r="B61" s="2" t="s">
        <v>69</v>
      </c>
      <c r="C61" s="7"/>
    </row>
    <row r="62" spans="1:3" x14ac:dyDescent="0.35">
      <c r="A62" s="1" t="s">
        <v>68</v>
      </c>
      <c r="B62" s="2" t="s">
        <v>70</v>
      </c>
      <c r="C62" s="8"/>
    </row>
    <row r="63" spans="1:3" x14ac:dyDescent="0.35">
      <c r="A63" s="1" t="s">
        <v>68</v>
      </c>
      <c r="B63" s="2" t="s">
        <v>71</v>
      </c>
      <c r="C63" s="7"/>
    </row>
    <row r="64" spans="1:3" x14ac:dyDescent="0.35">
      <c r="A64" s="1" t="s">
        <v>68</v>
      </c>
      <c r="B64" s="2" t="s">
        <v>72</v>
      </c>
      <c r="C64" s="8"/>
    </row>
    <row r="65" spans="1:3" x14ac:dyDescent="0.35">
      <c r="A65" s="1" t="s">
        <v>73</v>
      </c>
      <c r="B65" s="4" t="s">
        <v>184</v>
      </c>
      <c r="C65" s="7"/>
    </row>
    <row r="66" spans="1:3" x14ac:dyDescent="0.35">
      <c r="A66" s="1" t="s">
        <v>73</v>
      </c>
      <c r="B66" s="4" t="s">
        <v>185</v>
      </c>
      <c r="C66" s="7"/>
    </row>
    <row r="67" spans="1:3" x14ac:dyDescent="0.35">
      <c r="A67" s="1" t="s">
        <v>73</v>
      </c>
      <c r="B67" s="4" t="s">
        <v>186</v>
      </c>
      <c r="C67" s="7"/>
    </row>
    <row r="68" spans="1:3" x14ac:dyDescent="0.35">
      <c r="A68" s="1" t="s">
        <v>73</v>
      </c>
      <c r="B68" s="4" t="s">
        <v>187</v>
      </c>
      <c r="C68" s="7"/>
    </row>
    <row r="69" spans="1:3" x14ac:dyDescent="0.35">
      <c r="A69" s="1" t="s">
        <v>73</v>
      </c>
      <c r="B69" s="4" t="s">
        <v>188</v>
      </c>
      <c r="C69" s="7"/>
    </row>
    <row r="70" spans="1:3" x14ac:dyDescent="0.35">
      <c r="A70" s="1" t="s">
        <v>73</v>
      </c>
      <c r="B70" s="4" t="s">
        <v>189</v>
      </c>
      <c r="C70" s="7"/>
    </row>
    <row r="71" spans="1:3" x14ac:dyDescent="0.35">
      <c r="A71" s="1" t="s">
        <v>73</v>
      </c>
      <c r="B71" s="4" t="s">
        <v>190</v>
      </c>
      <c r="C71" s="7"/>
    </row>
    <row r="72" spans="1:3" x14ac:dyDescent="0.35">
      <c r="A72" s="1" t="s">
        <v>73</v>
      </c>
      <c r="B72" s="4" t="s">
        <v>191</v>
      </c>
      <c r="C72" s="7"/>
    </row>
    <row r="73" spans="1:3" x14ac:dyDescent="0.35">
      <c r="A73" s="1" t="s">
        <v>73</v>
      </c>
      <c r="B73" s="4" t="s">
        <v>195</v>
      </c>
      <c r="C73" s="7"/>
    </row>
    <row r="74" spans="1:3" x14ac:dyDescent="0.35">
      <c r="A74" s="1" t="s">
        <v>73</v>
      </c>
      <c r="B74" s="4" t="s">
        <v>192</v>
      </c>
      <c r="C74" s="7"/>
    </row>
    <row r="75" spans="1:3" x14ac:dyDescent="0.35">
      <c r="A75" s="1" t="s">
        <v>73</v>
      </c>
      <c r="B75" s="4" t="s">
        <v>193</v>
      </c>
      <c r="C75" s="7"/>
    </row>
    <row r="76" spans="1:3" x14ac:dyDescent="0.35">
      <c r="A76" s="1" t="s">
        <v>73</v>
      </c>
      <c r="B76" s="4" t="s">
        <v>194</v>
      </c>
      <c r="C76" s="7"/>
    </row>
    <row r="77" spans="1:3" x14ac:dyDescent="0.35">
      <c r="A77" s="1" t="s">
        <v>74</v>
      </c>
      <c r="B77" s="4" t="s">
        <v>202</v>
      </c>
      <c r="C77" s="7"/>
    </row>
    <row r="78" spans="1:3" x14ac:dyDescent="0.35">
      <c r="A78" s="1" t="s">
        <v>74</v>
      </c>
      <c r="B78" s="4" t="s">
        <v>201</v>
      </c>
      <c r="C78" s="7"/>
    </row>
    <row r="79" spans="1:3" x14ac:dyDescent="0.35">
      <c r="A79" s="1" t="s">
        <v>74</v>
      </c>
      <c r="B79" s="4" t="s">
        <v>200</v>
      </c>
      <c r="C79" s="7"/>
    </row>
    <row r="80" spans="1:3" x14ac:dyDescent="0.35">
      <c r="A80" s="1" t="s">
        <v>74</v>
      </c>
      <c r="B80" s="4" t="s">
        <v>199</v>
      </c>
      <c r="C80" s="7"/>
    </row>
    <row r="81" spans="1:3" x14ac:dyDescent="0.35">
      <c r="A81" s="1" t="s">
        <v>74</v>
      </c>
      <c r="B81" s="4" t="s">
        <v>198</v>
      </c>
      <c r="C81" s="7"/>
    </row>
    <row r="82" spans="1:3" x14ac:dyDescent="0.35">
      <c r="A82" s="1" t="s">
        <v>74</v>
      </c>
      <c r="B82" s="4" t="s">
        <v>197</v>
      </c>
      <c r="C82" s="7"/>
    </row>
    <row r="83" spans="1:3" x14ac:dyDescent="0.35">
      <c r="A83" s="1" t="s">
        <v>74</v>
      </c>
      <c r="B83" s="4" t="s">
        <v>196</v>
      </c>
      <c r="C83" s="7"/>
    </row>
    <row r="84" spans="1:3" x14ac:dyDescent="0.35">
      <c r="A84" s="1" t="s">
        <v>74</v>
      </c>
      <c r="B84" s="4" t="s">
        <v>75</v>
      </c>
      <c r="C84" s="8"/>
    </row>
    <row r="85" spans="1:3" x14ac:dyDescent="0.35">
      <c r="A85" s="1" t="s">
        <v>74</v>
      </c>
      <c r="B85" s="4" t="s">
        <v>76</v>
      </c>
    </row>
    <row r="86" spans="1:3" x14ac:dyDescent="0.35">
      <c r="A86" s="1" t="s">
        <v>74</v>
      </c>
      <c r="B86" s="5" t="s">
        <v>77</v>
      </c>
    </row>
    <row r="87" spans="1:3" x14ac:dyDescent="0.35">
      <c r="A87" s="1" t="s">
        <v>74</v>
      </c>
      <c r="B87" s="5" t="s">
        <v>78</v>
      </c>
    </row>
    <row r="88" spans="1:3" x14ac:dyDescent="0.35">
      <c r="A88" s="1" t="s">
        <v>74</v>
      </c>
      <c r="B88" s="5" t="s">
        <v>79</v>
      </c>
    </row>
    <row r="89" spans="1:3" x14ac:dyDescent="0.35">
      <c r="A89" s="1" t="s">
        <v>74</v>
      </c>
      <c r="B89" s="5" t="s">
        <v>80</v>
      </c>
    </row>
    <row r="90" spans="1:3" x14ac:dyDescent="0.35">
      <c r="A90" s="1" t="s">
        <v>74</v>
      </c>
      <c r="B90" s="5" t="s">
        <v>81</v>
      </c>
    </row>
    <row r="91" spans="1:3" x14ac:dyDescent="0.35">
      <c r="A91" s="1" t="s">
        <v>74</v>
      </c>
      <c r="B91" s="5" t="s">
        <v>82</v>
      </c>
    </row>
    <row r="92" spans="1:3" x14ac:dyDescent="0.35">
      <c r="A92" s="1" t="s">
        <v>74</v>
      </c>
      <c r="B92" s="5" t="s">
        <v>83</v>
      </c>
    </row>
    <row r="93" spans="1:3" x14ac:dyDescent="0.35">
      <c r="A93" s="1" t="s">
        <v>87</v>
      </c>
      <c r="B93" s="5" t="s">
        <v>84</v>
      </c>
    </row>
    <row r="94" spans="1:3" x14ac:dyDescent="0.35">
      <c r="A94" s="1" t="s">
        <v>87</v>
      </c>
      <c r="B94" s="5" t="s">
        <v>85</v>
      </c>
    </row>
    <row r="95" spans="1:3" x14ac:dyDescent="0.35">
      <c r="A95" s="1" t="s">
        <v>87</v>
      </c>
      <c r="B95" s="5" t="s">
        <v>203</v>
      </c>
    </row>
    <row r="96" spans="1:3" x14ac:dyDescent="0.35">
      <c r="A96" s="1" t="s">
        <v>87</v>
      </c>
      <c r="B96" s="5" t="s">
        <v>204</v>
      </c>
    </row>
    <row r="97" spans="1:2" x14ac:dyDescent="0.35">
      <c r="A97" s="1" t="s">
        <v>87</v>
      </c>
      <c r="B97" s="5" t="s">
        <v>86</v>
      </c>
    </row>
    <row r="98" spans="1:2" x14ac:dyDescent="0.35">
      <c r="A98" s="1" t="s">
        <v>87</v>
      </c>
      <c r="B98" s="5" t="s">
        <v>205</v>
      </c>
    </row>
    <row r="99" spans="1:2" x14ac:dyDescent="0.35">
      <c r="A99" s="1" t="s">
        <v>87</v>
      </c>
      <c r="B99" s="5" t="s">
        <v>206</v>
      </c>
    </row>
    <row r="100" spans="1:2" x14ac:dyDescent="0.35">
      <c r="A100" s="1" t="s">
        <v>87</v>
      </c>
      <c r="B100" s="5" t="s">
        <v>207</v>
      </c>
    </row>
    <row r="101" spans="1:2" x14ac:dyDescent="0.35">
      <c r="A101" s="1" t="s">
        <v>87</v>
      </c>
      <c r="B101" s="5" t="s">
        <v>208</v>
      </c>
    </row>
    <row r="102" spans="1:2" x14ac:dyDescent="0.35">
      <c r="A102" s="1" t="s">
        <v>87</v>
      </c>
      <c r="B102" s="5" t="s">
        <v>194</v>
      </c>
    </row>
    <row r="103" spans="1:2" x14ac:dyDescent="0.35">
      <c r="A103" s="1" t="s">
        <v>209</v>
      </c>
      <c r="B103" s="5" t="s">
        <v>210</v>
      </c>
    </row>
    <row r="104" spans="1:2" x14ac:dyDescent="0.35">
      <c r="A104" s="1" t="s">
        <v>209</v>
      </c>
      <c r="B104" s="5" t="s">
        <v>211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02"/>
  <sheetViews>
    <sheetView tabSelected="1" zoomScaleNormal="100" workbookViewId="0">
      <pane ySplit="2" topLeftCell="A3" activePane="bottomLeft" state="frozen"/>
      <selection pane="bottomLeft" activeCell="X7" sqref="X7"/>
    </sheetView>
  </sheetViews>
  <sheetFormatPr defaultRowHeight="15" customHeight="1" x14ac:dyDescent="0.35"/>
  <cols>
    <col min="1" max="1" width="11.26953125" style="11" bestFit="1" customWidth="1"/>
    <col min="2" max="2" width="5.90625" style="11" bestFit="1" customWidth="1"/>
    <col min="3" max="3" width="8.54296875" style="11" bestFit="1" customWidth="1"/>
    <col min="4" max="4" width="19.453125" style="11" bestFit="1" customWidth="1"/>
    <col min="5" max="5" width="12.81640625" style="11" bestFit="1" customWidth="1"/>
    <col min="6" max="6" width="39.36328125" style="11" customWidth="1"/>
    <col min="7" max="7" width="11.453125" style="11" customWidth="1"/>
    <col min="8" max="8" width="13.1796875" style="11" customWidth="1"/>
    <col min="9" max="9" width="6" style="11" bestFit="1" customWidth="1"/>
    <col min="10" max="10" width="7.90625" style="11" bestFit="1" customWidth="1"/>
    <col min="11" max="11" width="6.54296875" style="11" bestFit="1" customWidth="1"/>
    <col min="12" max="12" width="9.54296875" style="11" customWidth="1"/>
    <col min="13" max="13" width="6.54296875" style="11" bestFit="1" customWidth="1"/>
    <col min="14" max="14" width="8.54296875" style="11" bestFit="1" customWidth="1"/>
    <col min="15" max="15" width="6.7265625" style="11" bestFit="1" customWidth="1"/>
    <col min="16" max="16" width="13.7265625" style="11" customWidth="1"/>
    <col min="17" max="17" width="9" style="11" bestFit="1" customWidth="1"/>
    <col min="18" max="20" width="8.26953125" style="11" customWidth="1"/>
    <col min="21" max="21" width="11.08984375" style="11" bestFit="1" customWidth="1"/>
    <col min="22" max="22" width="8.7265625" style="11" customWidth="1"/>
    <col min="23" max="16384" width="8.7265625" style="11"/>
  </cols>
  <sheetData>
    <row r="1" spans="1:21" x14ac:dyDescent="0.35">
      <c r="D1" s="61"/>
      <c r="E1" s="61"/>
      <c r="I1" s="59" t="s">
        <v>88</v>
      </c>
      <c r="J1" s="60"/>
      <c r="K1" s="59" t="s">
        <v>89</v>
      </c>
      <c r="L1" s="60"/>
      <c r="M1" s="59" t="s">
        <v>90</v>
      </c>
      <c r="N1" s="60"/>
      <c r="O1" s="59" t="s">
        <v>91</v>
      </c>
      <c r="P1" s="60"/>
      <c r="Q1" s="43" t="s">
        <v>180</v>
      </c>
      <c r="R1" s="43" t="s">
        <v>181</v>
      </c>
      <c r="S1" s="44"/>
      <c r="T1" s="44"/>
      <c r="U1" s="45" t="s">
        <v>92</v>
      </c>
    </row>
    <row r="2" spans="1:21" x14ac:dyDescent="0.35">
      <c r="A2" s="46" t="s">
        <v>93</v>
      </c>
      <c r="B2" s="46" t="s">
        <v>94</v>
      </c>
      <c r="C2" s="46" t="s">
        <v>95</v>
      </c>
      <c r="D2" s="46" t="s">
        <v>0</v>
      </c>
      <c r="E2" s="46" t="s">
        <v>1</v>
      </c>
      <c r="F2" s="46" t="s">
        <v>96</v>
      </c>
      <c r="G2" s="46" t="s">
        <v>97</v>
      </c>
      <c r="H2" s="46" t="s">
        <v>98</v>
      </c>
      <c r="I2" s="47" t="s">
        <v>99</v>
      </c>
      <c r="J2" s="47" t="s">
        <v>100</v>
      </c>
      <c r="K2" s="47" t="s">
        <v>101</v>
      </c>
      <c r="L2" s="47" t="s">
        <v>102</v>
      </c>
      <c r="M2" s="47" t="s">
        <v>103</v>
      </c>
      <c r="N2" s="47" t="s">
        <v>104</v>
      </c>
      <c r="O2" s="47" t="s">
        <v>105</v>
      </c>
      <c r="P2" s="47" t="s">
        <v>106</v>
      </c>
      <c r="Q2" s="47" t="s">
        <v>107</v>
      </c>
      <c r="R2" s="47" t="s">
        <v>108</v>
      </c>
      <c r="S2" s="47" t="s">
        <v>182</v>
      </c>
      <c r="T2" s="47" t="s">
        <v>183</v>
      </c>
      <c r="U2" s="48" t="s">
        <v>109</v>
      </c>
    </row>
    <row r="3" spans="1:21" x14ac:dyDescent="0.35">
      <c r="A3" s="49"/>
      <c r="B3" s="51">
        <f t="shared" ref="B3:B34" si="0">WEEKNUM(A3)</f>
        <v>0</v>
      </c>
      <c r="C3" s="52" t="str">
        <f t="shared" ref="C3:C34" si="1">TEXT(A3,"mmm-yyyy")</f>
        <v>Jan-1900</v>
      </c>
      <c r="D3" s="52" t="str">
        <f>IFERROR(INDEX(Sheet1!$A$2:$A$104,MATCH(SessionData[[#This Row],[Communities]],Sheet1!$B$2:$B$104,0)),"")</f>
        <v/>
      </c>
      <c r="U3" s="51">
        <f>SUM(SessionData[[#This Row],[MALE]:[MEN]])</f>
        <v>0</v>
      </c>
    </row>
    <row r="4" spans="1:21" x14ac:dyDescent="0.35">
      <c r="A4" s="49"/>
      <c r="B4" s="51">
        <f t="shared" si="0"/>
        <v>0</v>
      </c>
      <c r="C4" s="52" t="str">
        <f t="shared" si="1"/>
        <v>Jan-1900</v>
      </c>
      <c r="D4" s="52" t="str">
        <f>IFERROR(INDEX(Sheet1!$A$2:$A$104,MATCH(SessionData[[#This Row],[Communities]],Sheet1!$B$2:$B$104,0)),"")</f>
        <v/>
      </c>
      <c r="U4" s="51">
        <f>SUM(SessionData[[#This Row],[MALE]:[MEN]])</f>
        <v>0</v>
      </c>
    </row>
    <row r="5" spans="1:21" x14ac:dyDescent="0.35">
      <c r="A5" s="49"/>
      <c r="B5" s="51">
        <f t="shared" si="0"/>
        <v>0</v>
      </c>
      <c r="C5" s="52" t="str">
        <f t="shared" si="1"/>
        <v>Jan-1900</v>
      </c>
      <c r="D5" s="52" t="str">
        <f>IFERROR(INDEX(Sheet1!$A$2:$A$104,MATCH(SessionData[[#This Row],[Communities]],Sheet1!$B$2:$B$104,0)),"")</f>
        <v/>
      </c>
      <c r="U5" s="51">
        <f>SUM(SessionData[[#This Row],[MALE]:[MEN]])</f>
        <v>0</v>
      </c>
    </row>
    <row r="6" spans="1:21" x14ac:dyDescent="0.35">
      <c r="A6" s="49"/>
      <c r="B6" s="51">
        <f t="shared" si="0"/>
        <v>0</v>
      </c>
      <c r="C6" s="52" t="str">
        <f t="shared" si="1"/>
        <v>Jan-1900</v>
      </c>
      <c r="D6" s="52" t="str">
        <f>IFERROR(INDEX(Sheet1!$A$2:$A$104,MATCH(SessionData[[#This Row],[Communities]],Sheet1!$B$2:$B$104,0)),"")</f>
        <v/>
      </c>
      <c r="U6" s="51">
        <f>SUM(SessionData[[#This Row],[MALE]:[MEN]])</f>
        <v>0</v>
      </c>
    </row>
    <row r="7" spans="1:21" x14ac:dyDescent="0.35">
      <c r="A7" s="49"/>
      <c r="B7" s="51">
        <f t="shared" si="0"/>
        <v>0</v>
      </c>
      <c r="C7" s="52" t="str">
        <f t="shared" si="1"/>
        <v>Jan-1900</v>
      </c>
      <c r="D7" s="52" t="str">
        <f>IFERROR(INDEX(Sheet1!$A$2:$A$104,MATCH(SessionData[[#This Row],[Communities]],Sheet1!$B$2:$B$104,0)),"")</f>
        <v/>
      </c>
      <c r="U7" s="51">
        <f>SUM(SessionData[[#This Row],[MALE]:[MEN]])</f>
        <v>0</v>
      </c>
    </row>
    <row r="8" spans="1:21" x14ac:dyDescent="0.35">
      <c r="A8" s="49"/>
      <c r="B8" s="51">
        <f t="shared" si="0"/>
        <v>0</v>
      </c>
      <c r="C8" s="52" t="str">
        <f t="shared" si="1"/>
        <v>Jan-1900</v>
      </c>
      <c r="D8" s="52" t="str">
        <f>IFERROR(INDEX(Sheet1!$A$2:$A$104,MATCH(SessionData[[#This Row],[Communities]],Sheet1!$B$2:$B$104,0)),"")</f>
        <v/>
      </c>
      <c r="U8" s="51">
        <f>SUM(SessionData[[#This Row],[MALE]:[MEN]])</f>
        <v>0</v>
      </c>
    </row>
    <row r="9" spans="1:21" x14ac:dyDescent="0.35">
      <c r="A9" s="49"/>
      <c r="B9" s="51">
        <f t="shared" si="0"/>
        <v>0</v>
      </c>
      <c r="C9" s="52" t="str">
        <f t="shared" si="1"/>
        <v>Jan-1900</v>
      </c>
      <c r="D9" s="52" t="str">
        <f>IFERROR(INDEX(Sheet1!$A$2:$A$104,MATCH(SessionData[[#This Row],[Communities]],Sheet1!$B$2:$B$104,0)),"")</f>
        <v/>
      </c>
      <c r="U9" s="51">
        <f>SUM(SessionData[[#This Row],[MALE]:[MEN]])</f>
        <v>0</v>
      </c>
    </row>
    <row r="10" spans="1:21" x14ac:dyDescent="0.35">
      <c r="A10" s="49"/>
      <c r="B10" s="51">
        <f t="shared" si="0"/>
        <v>0</v>
      </c>
      <c r="C10" s="52" t="str">
        <f t="shared" si="1"/>
        <v>Jan-1900</v>
      </c>
      <c r="D10" s="52" t="str">
        <f>IFERROR(INDEX(Sheet1!$A$2:$A$104,MATCH(SessionData[[#This Row],[Communities]],Sheet1!$B$2:$B$104,0)),"")</f>
        <v/>
      </c>
      <c r="U10" s="51">
        <f>SUM(SessionData[[#This Row],[MALE]:[MEN]])</f>
        <v>0</v>
      </c>
    </row>
    <row r="11" spans="1:21" x14ac:dyDescent="0.35">
      <c r="A11" s="49"/>
      <c r="B11" s="51">
        <f t="shared" si="0"/>
        <v>0</v>
      </c>
      <c r="C11" s="52" t="str">
        <f t="shared" si="1"/>
        <v>Jan-1900</v>
      </c>
      <c r="D11" s="52" t="str">
        <f>IFERROR(INDEX(Sheet1!$A$2:$A$104,MATCH(SessionData[[#This Row],[Communities]],Sheet1!$B$2:$B$104,0)),"")</f>
        <v/>
      </c>
      <c r="U11" s="51">
        <f>SUM(SessionData[[#This Row],[MALE]:[MEN]])</f>
        <v>0</v>
      </c>
    </row>
    <row r="12" spans="1:21" x14ac:dyDescent="0.35">
      <c r="A12" s="49"/>
      <c r="B12" s="51">
        <f t="shared" si="0"/>
        <v>0</v>
      </c>
      <c r="C12" s="52" t="str">
        <f t="shared" si="1"/>
        <v>Jan-1900</v>
      </c>
      <c r="D12" s="52" t="str">
        <f>IFERROR(INDEX(Sheet1!$A$2:$A$104,MATCH(SessionData[[#This Row],[Communities]],Sheet1!$B$2:$B$104,0)),"")</f>
        <v/>
      </c>
      <c r="U12" s="51">
        <f>SUM(SessionData[[#This Row],[MALE]:[MEN]])</f>
        <v>0</v>
      </c>
    </row>
    <row r="13" spans="1:21" x14ac:dyDescent="0.35">
      <c r="A13" s="49"/>
      <c r="B13" s="51">
        <f t="shared" si="0"/>
        <v>0</v>
      </c>
      <c r="C13" s="52" t="str">
        <f t="shared" si="1"/>
        <v>Jan-1900</v>
      </c>
      <c r="D13" s="52" t="str">
        <f>IFERROR(INDEX(Sheet1!$A$2:$A$104,MATCH(SessionData[[#This Row],[Communities]],Sheet1!$B$2:$B$104,0)),"")</f>
        <v/>
      </c>
      <c r="U13" s="51">
        <f>SUM(SessionData[[#This Row],[MALE]:[MEN]])</f>
        <v>0</v>
      </c>
    </row>
    <row r="14" spans="1:21" x14ac:dyDescent="0.35">
      <c r="A14" s="49"/>
      <c r="B14" s="51">
        <f t="shared" si="0"/>
        <v>0</v>
      </c>
      <c r="C14" s="52" t="str">
        <f t="shared" si="1"/>
        <v>Jan-1900</v>
      </c>
      <c r="D14" s="52" t="str">
        <f>IFERROR(INDEX(Sheet1!$A$2:$A$104,MATCH(SessionData[[#This Row],[Communities]],Sheet1!$B$2:$B$104,0)),"")</f>
        <v/>
      </c>
      <c r="U14" s="51">
        <f>SUM(SessionData[[#This Row],[MALE]:[MEN]])</f>
        <v>0</v>
      </c>
    </row>
    <row r="15" spans="1:21" x14ac:dyDescent="0.35">
      <c r="A15" s="49"/>
      <c r="B15" s="51">
        <f t="shared" si="0"/>
        <v>0</v>
      </c>
      <c r="C15" s="52" t="str">
        <f t="shared" si="1"/>
        <v>Jan-1900</v>
      </c>
      <c r="D15" s="52" t="str">
        <f>IFERROR(INDEX(Sheet1!$A$2:$A$104,MATCH(SessionData[[#This Row],[Communities]],Sheet1!$B$2:$B$104,0)),"")</f>
        <v/>
      </c>
      <c r="U15" s="51">
        <f>SUM(SessionData[[#This Row],[MALE]:[MEN]])</f>
        <v>0</v>
      </c>
    </row>
    <row r="16" spans="1:21" x14ac:dyDescent="0.35">
      <c r="A16" s="49"/>
      <c r="B16" s="51">
        <f t="shared" si="0"/>
        <v>0</v>
      </c>
      <c r="C16" s="52" t="str">
        <f t="shared" si="1"/>
        <v>Jan-1900</v>
      </c>
      <c r="D16" s="52" t="str">
        <f>IFERROR(INDEX(Sheet1!$A$2:$A$104,MATCH(SessionData[[#This Row],[Communities]],Sheet1!$B$2:$B$104,0)),"")</f>
        <v/>
      </c>
      <c r="U16" s="51">
        <f>SUM(SessionData[[#This Row],[MALE]:[MEN]])</f>
        <v>0</v>
      </c>
    </row>
    <row r="17" spans="1:21" x14ac:dyDescent="0.35">
      <c r="A17" s="49"/>
      <c r="B17" s="51">
        <f t="shared" si="0"/>
        <v>0</v>
      </c>
      <c r="C17" s="52" t="str">
        <f t="shared" si="1"/>
        <v>Jan-1900</v>
      </c>
      <c r="D17" s="52" t="str">
        <f>IFERROR(INDEX(Sheet1!$A$2:$A$104,MATCH(SessionData[[#This Row],[Communities]],Sheet1!$B$2:$B$104,0)),"")</f>
        <v/>
      </c>
      <c r="U17" s="51">
        <f>SUM(SessionData[[#This Row],[MALE]:[MEN]])</f>
        <v>0</v>
      </c>
    </row>
    <row r="18" spans="1:21" x14ac:dyDescent="0.35">
      <c r="A18" s="49"/>
      <c r="B18" s="51">
        <f t="shared" si="0"/>
        <v>0</v>
      </c>
      <c r="C18" s="52" t="str">
        <f t="shared" si="1"/>
        <v>Jan-1900</v>
      </c>
      <c r="D18" s="52" t="str">
        <f>IFERROR(INDEX(Sheet1!$A$2:$A$104,MATCH(SessionData[[#This Row],[Communities]],Sheet1!$B$2:$B$104,0)),"")</f>
        <v/>
      </c>
      <c r="U18" s="51">
        <f>SUM(SessionData[[#This Row],[MALE]:[MEN]])</f>
        <v>0</v>
      </c>
    </row>
    <row r="19" spans="1:21" x14ac:dyDescent="0.35">
      <c r="A19" s="49"/>
      <c r="B19" s="51">
        <f t="shared" si="0"/>
        <v>0</v>
      </c>
      <c r="C19" s="52" t="str">
        <f t="shared" si="1"/>
        <v>Jan-1900</v>
      </c>
      <c r="D19" s="52" t="str">
        <f>IFERROR(INDEX(Sheet1!$A$2:$A$104,MATCH(SessionData[[#This Row],[Communities]],Sheet1!$B$2:$B$104,0)),"")</f>
        <v/>
      </c>
      <c r="U19" s="51">
        <f>SUM(SessionData[[#This Row],[MALE]:[MEN]])</f>
        <v>0</v>
      </c>
    </row>
    <row r="20" spans="1:21" x14ac:dyDescent="0.35">
      <c r="A20" s="49"/>
      <c r="B20" s="51">
        <f t="shared" si="0"/>
        <v>0</v>
      </c>
      <c r="C20" s="52" t="str">
        <f t="shared" si="1"/>
        <v>Jan-1900</v>
      </c>
      <c r="D20" s="52" t="str">
        <f>IFERROR(INDEX(Sheet1!$A$2:$A$104,MATCH(SessionData[[#This Row],[Communities]],Sheet1!$B$2:$B$104,0)),"")</f>
        <v/>
      </c>
      <c r="U20" s="51">
        <f>SUM(SessionData[[#This Row],[MALE]:[MEN]])</f>
        <v>0</v>
      </c>
    </row>
    <row r="21" spans="1:21" x14ac:dyDescent="0.35">
      <c r="A21" s="49"/>
      <c r="B21" s="51">
        <f t="shared" si="0"/>
        <v>0</v>
      </c>
      <c r="C21" s="52" t="str">
        <f t="shared" si="1"/>
        <v>Jan-1900</v>
      </c>
      <c r="D21" s="52" t="str">
        <f>IFERROR(INDEX(Sheet1!$A$2:$A$104,MATCH(SessionData[[#This Row],[Communities]],Sheet1!$B$2:$B$104,0)),"")</f>
        <v/>
      </c>
      <c r="U21" s="51">
        <f>SUM(SessionData[[#This Row],[MALE]:[MEN]])</f>
        <v>0</v>
      </c>
    </row>
    <row r="22" spans="1:21" x14ac:dyDescent="0.35">
      <c r="A22" s="49"/>
      <c r="B22" s="51">
        <f t="shared" si="0"/>
        <v>0</v>
      </c>
      <c r="C22" s="52" t="str">
        <f t="shared" si="1"/>
        <v>Jan-1900</v>
      </c>
      <c r="D22" s="52" t="str">
        <f>IFERROR(INDEX(Sheet1!$A$2:$A$104,MATCH(SessionData[[#This Row],[Communities]],Sheet1!$B$2:$B$104,0)),"")</f>
        <v/>
      </c>
      <c r="U22" s="51">
        <f>SUM(SessionData[[#This Row],[MALE]:[MEN]])</f>
        <v>0</v>
      </c>
    </row>
    <row r="23" spans="1:21" x14ac:dyDescent="0.35">
      <c r="A23" s="49"/>
      <c r="B23" s="51">
        <f t="shared" si="0"/>
        <v>0</v>
      </c>
      <c r="C23" s="52" t="str">
        <f t="shared" si="1"/>
        <v>Jan-1900</v>
      </c>
      <c r="D23" s="52" t="str">
        <f>IFERROR(INDEX(Sheet1!$A$2:$A$104,MATCH(SessionData[[#This Row],[Communities]],Sheet1!$B$2:$B$104,0)),"")</f>
        <v/>
      </c>
      <c r="U23" s="51">
        <f>SUM(SessionData[[#This Row],[MALE]:[MEN]])</f>
        <v>0</v>
      </c>
    </row>
    <row r="24" spans="1:21" x14ac:dyDescent="0.35">
      <c r="A24" s="49"/>
      <c r="B24" s="51">
        <f t="shared" si="0"/>
        <v>0</v>
      </c>
      <c r="C24" s="52" t="str">
        <f t="shared" si="1"/>
        <v>Jan-1900</v>
      </c>
      <c r="D24" s="52" t="str">
        <f>IFERROR(INDEX(Sheet1!$A$2:$A$104,MATCH(SessionData[[#This Row],[Communities]],Sheet1!$B$2:$B$104,0)),"")</f>
        <v/>
      </c>
      <c r="U24" s="51">
        <f>SUM(SessionData[[#This Row],[MALE]:[MEN]])</f>
        <v>0</v>
      </c>
    </row>
    <row r="25" spans="1:21" x14ac:dyDescent="0.35">
      <c r="A25" s="49"/>
      <c r="B25" s="51">
        <f t="shared" si="0"/>
        <v>0</v>
      </c>
      <c r="C25" s="52" t="str">
        <f t="shared" si="1"/>
        <v>Jan-1900</v>
      </c>
      <c r="D25" s="52" t="str">
        <f>IFERROR(INDEX(Sheet1!$A$2:$A$104,MATCH(SessionData[[#This Row],[Communities]],Sheet1!$B$2:$B$104,0)),"")</f>
        <v/>
      </c>
      <c r="U25" s="51">
        <f>SUM(SessionData[[#This Row],[MALE]:[MEN]])</f>
        <v>0</v>
      </c>
    </row>
    <row r="26" spans="1:21" x14ac:dyDescent="0.35">
      <c r="A26" s="49"/>
      <c r="B26" s="51">
        <f t="shared" si="0"/>
        <v>0</v>
      </c>
      <c r="C26" s="52" t="str">
        <f t="shared" si="1"/>
        <v>Jan-1900</v>
      </c>
      <c r="D26" s="52" t="str">
        <f>IFERROR(INDEX(Sheet1!$A$2:$A$104,MATCH(SessionData[[#This Row],[Communities]],Sheet1!$B$2:$B$104,0)),"")</f>
        <v/>
      </c>
      <c r="U26" s="51">
        <f>SUM(SessionData[[#This Row],[MALE]:[MEN]])</f>
        <v>0</v>
      </c>
    </row>
    <row r="27" spans="1:21" x14ac:dyDescent="0.35">
      <c r="A27" s="49"/>
      <c r="B27" s="51">
        <f t="shared" si="0"/>
        <v>0</v>
      </c>
      <c r="C27" s="52" t="str">
        <f t="shared" si="1"/>
        <v>Jan-1900</v>
      </c>
      <c r="D27" s="52" t="str">
        <f>IFERROR(INDEX(Sheet1!$A$2:$A$104,MATCH(SessionData[[#This Row],[Communities]],Sheet1!$B$2:$B$104,0)),"")</f>
        <v/>
      </c>
      <c r="U27" s="51">
        <f>SUM(SessionData[[#This Row],[MALE]:[MEN]])</f>
        <v>0</v>
      </c>
    </row>
    <row r="28" spans="1:21" x14ac:dyDescent="0.35">
      <c r="A28" s="49"/>
      <c r="B28" s="51">
        <f t="shared" si="0"/>
        <v>0</v>
      </c>
      <c r="C28" s="52" t="str">
        <f t="shared" si="1"/>
        <v>Jan-1900</v>
      </c>
      <c r="D28" s="52" t="str">
        <f>IFERROR(INDEX(Sheet1!$A$2:$A$104,MATCH(SessionData[[#This Row],[Communities]],Sheet1!$B$2:$B$104,0)),"")</f>
        <v/>
      </c>
      <c r="U28" s="51">
        <f>SUM(SessionData[[#This Row],[MALE]:[MEN]])</f>
        <v>0</v>
      </c>
    </row>
    <row r="29" spans="1:21" x14ac:dyDescent="0.35">
      <c r="A29" s="49"/>
      <c r="B29" s="51">
        <f t="shared" si="0"/>
        <v>0</v>
      </c>
      <c r="C29" s="52" t="str">
        <f t="shared" si="1"/>
        <v>Jan-1900</v>
      </c>
      <c r="D29" s="52" t="str">
        <f>IFERROR(INDEX(Sheet1!$A$2:$A$104,MATCH(SessionData[[#This Row],[Communities]],Sheet1!$B$2:$B$104,0)),"")</f>
        <v/>
      </c>
      <c r="U29" s="51">
        <f>SUM(SessionData[[#This Row],[MALE]:[MEN]])</f>
        <v>0</v>
      </c>
    </row>
    <row r="30" spans="1:21" x14ac:dyDescent="0.35">
      <c r="A30" s="49"/>
      <c r="B30" s="51">
        <f t="shared" si="0"/>
        <v>0</v>
      </c>
      <c r="C30" s="52" t="str">
        <f t="shared" si="1"/>
        <v>Jan-1900</v>
      </c>
      <c r="D30" s="52" t="str">
        <f>IFERROR(INDEX(Sheet1!$A$2:$A$104,MATCH(SessionData[[#This Row],[Communities]],Sheet1!$B$2:$B$104,0)),"")</f>
        <v/>
      </c>
      <c r="U30" s="51">
        <f>SUM(SessionData[[#This Row],[MALE]:[MEN]])</f>
        <v>0</v>
      </c>
    </row>
    <row r="31" spans="1:21" x14ac:dyDescent="0.35">
      <c r="A31" s="49"/>
      <c r="B31" s="51">
        <f t="shared" si="0"/>
        <v>0</v>
      </c>
      <c r="C31" s="52" t="str">
        <f t="shared" si="1"/>
        <v>Jan-1900</v>
      </c>
      <c r="D31" s="52" t="str">
        <f>IFERROR(INDEX(Sheet1!$A$2:$A$104,MATCH(SessionData[[#This Row],[Communities]],Sheet1!$B$2:$B$104,0)),"")</f>
        <v/>
      </c>
      <c r="U31" s="51">
        <f>SUM(SessionData[[#This Row],[MALE]:[MEN]])</f>
        <v>0</v>
      </c>
    </row>
    <row r="32" spans="1:21" x14ac:dyDescent="0.35">
      <c r="A32" s="49"/>
      <c r="B32" s="51">
        <f t="shared" si="0"/>
        <v>0</v>
      </c>
      <c r="C32" s="52" t="str">
        <f t="shared" si="1"/>
        <v>Jan-1900</v>
      </c>
      <c r="D32" s="52" t="str">
        <f>IFERROR(INDEX(Sheet1!$A$2:$A$104,MATCH(SessionData[[#This Row],[Communities]],Sheet1!$B$2:$B$104,0)),"")</f>
        <v/>
      </c>
      <c r="U32" s="51">
        <f>SUM(SessionData[[#This Row],[MALE]:[MEN]])</f>
        <v>0</v>
      </c>
    </row>
    <row r="33" spans="1:21" x14ac:dyDescent="0.35">
      <c r="A33" s="49"/>
      <c r="B33" s="51">
        <f t="shared" si="0"/>
        <v>0</v>
      </c>
      <c r="C33" s="52" t="str">
        <f t="shared" si="1"/>
        <v>Jan-1900</v>
      </c>
      <c r="D33" s="52" t="str">
        <f>IFERROR(INDEX(Sheet1!$A$2:$A$104,MATCH(SessionData[[#This Row],[Communities]],Sheet1!$B$2:$B$104,0)),"")</f>
        <v/>
      </c>
      <c r="U33" s="51">
        <f>SUM(SessionData[[#This Row],[MALE]:[MEN]])</f>
        <v>0</v>
      </c>
    </row>
    <row r="34" spans="1:21" x14ac:dyDescent="0.35">
      <c r="A34" s="49"/>
      <c r="B34" s="51">
        <f t="shared" si="0"/>
        <v>0</v>
      </c>
      <c r="C34" s="52" t="str">
        <f t="shared" si="1"/>
        <v>Jan-1900</v>
      </c>
      <c r="D34" s="52" t="str">
        <f>IFERROR(INDEX(Sheet1!$A$2:$A$104,MATCH(SessionData[[#This Row],[Communities]],Sheet1!$B$2:$B$104,0)),"")</f>
        <v/>
      </c>
      <c r="U34" s="51">
        <f>SUM(SessionData[[#This Row],[MALE]:[MEN]])</f>
        <v>0</v>
      </c>
    </row>
    <row r="35" spans="1:21" x14ac:dyDescent="0.35">
      <c r="A35" s="49"/>
      <c r="B35" s="51">
        <f t="shared" ref="B35:B66" si="2">WEEKNUM(A35)</f>
        <v>0</v>
      </c>
      <c r="C35" s="52" t="str">
        <f t="shared" ref="C35:C66" si="3">TEXT(A35,"mmm-yyyy")</f>
        <v>Jan-1900</v>
      </c>
      <c r="D35" s="52" t="str">
        <f>IFERROR(INDEX(Sheet1!$A$2:$A$104,MATCH(SessionData[[#This Row],[Communities]],Sheet1!$B$2:$B$104,0)),"")</f>
        <v/>
      </c>
      <c r="U35" s="51">
        <f>SUM(SessionData[[#This Row],[MALE]:[MEN]])</f>
        <v>0</v>
      </c>
    </row>
    <row r="36" spans="1:21" x14ac:dyDescent="0.35">
      <c r="A36" s="49"/>
      <c r="B36" s="51">
        <f t="shared" si="2"/>
        <v>0</v>
      </c>
      <c r="C36" s="52" t="str">
        <f t="shared" si="3"/>
        <v>Jan-1900</v>
      </c>
      <c r="D36" s="52" t="str">
        <f>IFERROR(INDEX(Sheet1!$A$2:$A$104,MATCH(SessionData[[#This Row],[Communities]],Sheet1!$B$2:$B$104,0)),"")</f>
        <v/>
      </c>
      <c r="U36" s="51">
        <f>SUM(SessionData[[#This Row],[MALE]:[MEN]])</f>
        <v>0</v>
      </c>
    </row>
    <row r="37" spans="1:21" x14ac:dyDescent="0.35">
      <c r="A37" s="49"/>
      <c r="B37" s="51">
        <f t="shared" si="2"/>
        <v>0</v>
      </c>
      <c r="C37" s="52" t="str">
        <f t="shared" si="3"/>
        <v>Jan-1900</v>
      </c>
      <c r="D37" s="52" t="str">
        <f>IFERROR(INDEX(Sheet1!$A$2:$A$104,MATCH(SessionData[[#This Row],[Communities]],Sheet1!$B$2:$B$104,0)),"")</f>
        <v/>
      </c>
      <c r="U37" s="51">
        <f>SUM(SessionData[[#This Row],[MALE]:[MEN]])</f>
        <v>0</v>
      </c>
    </row>
    <row r="38" spans="1:21" x14ac:dyDescent="0.35">
      <c r="A38" s="49"/>
      <c r="B38" s="51">
        <f t="shared" si="2"/>
        <v>0</v>
      </c>
      <c r="C38" s="52" t="str">
        <f t="shared" si="3"/>
        <v>Jan-1900</v>
      </c>
      <c r="D38" s="52" t="str">
        <f>IFERROR(INDEX(Sheet1!$A$2:$A$104,MATCH(SessionData[[#This Row],[Communities]],Sheet1!$B$2:$B$104,0)),"")</f>
        <v/>
      </c>
      <c r="U38" s="51">
        <f>SUM(SessionData[[#This Row],[MALE]:[MEN]])</f>
        <v>0</v>
      </c>
    </row>
    <row r="39" spans="1:21" x14ac:dyDescent="0.35">
      <c r="A39" s="49"/>
      <c r="B39" s="51">
        <f t="shared" si="2"/>
        <v>0</v>
      </c>
      <c r="C39" s="52" t="str">
        <f t="shared" si="3"/>
        <v>Jan-1900</v>
      </c>
      <c r="D39" s="52" t="str">
        <f>IFERROR(INDEX(Sheet1!$A$2:$A$104,MATCH(SessionData[[#This Row],[Communities]],Sheet1!$B$2:$B$104,0)),"")</f>
        <v/>
      </c>
      <c r="U39" s="51">
        <f>SUM(SessionData[[#This Row],[MALE]:[MEN]])</f>
        <v>0</v>
      </c>
    </row>
    <row r="40" spans="1:21" x14ac:dyDescent="0.35">
      <c r="A40" s="49"/>
      <c r="B40" s="51">
        <f t="shared" si="2"/>
        <v>0</v>
      </c>
      <c r="C40" s="52" t="str">
        <f t="shared" si="3"/>
        <v>Jan-1900</v>
      </c>
      <c r="D40" s="52" t="str">
        <f>IFERROR(INDEX(Sheet1!$A$2:$A$104,MATCH(SessionData[[#This Row],[Communities]],Sheet1!$B$2:$B$104,0)),"")</f>
        <v/>
      </c>
      <c r="U40" s="51">
        <f>SUM(SessionData[[#This Row],[MALE]:[MEN]])</f>
        <v>0</v>
      </c>
    </row>
    <row r="41" spans="1:21" x14ac:dyDescent="0.35">
      <c r="A41" s="49"/>
      <c r="B41" s="51">
        <f t="shared" si="2"/>
        <v>0</v>
      </c>
      <c r="C41" s="52" t="str">
        <f t="shared" si="3"/>
        <v>Jan-1900</v>
      </c>
      <c r="D41" s="52" t="str">
        <f>IFERROR(INDEX(Sheet1!$A$2:$A$104,MATCH(SessionData[[#This Row],[Communities]],Sheet1!$B$2:$B$104,0)),"")</f>
        <v/>
      </c>
      <c r="U41" s="51">
        <f>SUM(SessionData[[#This Row],[MALE]:[MEN]])</f>
        <v>0</v>
      </c>
    </row>
    <row r="42" spans="1:21" x14ac:dyDescent="0.35">
      <c r="A42" s="49"/>
      <c r="B42" s="51">
        <f t="shared" si="2"/>
        <v>0</v>
      </c>
      <c r="C42" s="52" t="str">
        <f t="shared" si="3"/>
        <v>Jan-1900</v>
      </c>
      <c r="D42" s="52" t="str">
        <f>IFERROR(INDEX(Sheet1!$A$2:$A$104,MATCH(SessionData[[#This Row],[Communities]],Sheet1!$B$2:$B$104,0)),"")</f>
        <v/>
      </c>
      <c r="U42" s="51">
        <f>SUM(SessionData[[#This Row],[MALE]:[MEN]])</f>
        <v>0</v>
      </c>
    </row>
    <row r="43" spans="1:21" x14ac:dyDescent="0.35">
      <c r="A43" s="49"/>
      <c r="B43" s="51">
        <f t="shared" si="2"/>
        <v>0</v>
      </c>
      <c r="C43" s="52" t="str">
        <f t="shared" si="3"/>
        <v>Jan-1900</v>
      </c>
      <c r="D43" s="52" t="str">
        <f>IFERROR(INDEX(Sheet1!$A$2:$A$104,MATCH(SessionData[[#This Row],[Communities]],Sheet1!$B$2:$B$104,0)),"")</f>
        <v/>
      </c>
      <c r="U43" s="51">
        <f>SUM(SessionData[[#This Row],[MALE]:[MEN]])</f>
        <v>0</v>
      </c>
    </row>
    <row r="44" spans="1:21" x14ac:dyDescent="0.35">
      <c r="A44" s="49"/>
      <c r="B44" s="51">
        <f t="shared" si="2"/>
        <v>0</v>
      </c>
      <c r="C44" s="52" t="str">
        <f t="shared" si="3"/>
        <v>Jan-1900</v>
      </c>
      <c r="D44" s="52" t="str">
        <f>IFERROR(INDEX(Sheet1!$A$2:$A$104,MATCH(SessionData[[#This Row],[Communities]],Sheet1!$B$2:$B$104,0)),"")</f>
        <v/>
      </c>
      <c r="U44" s="51">
        <f>SUM(SessionData[[#This Row],[MALE]:[MEN]])</f>
        <v>0</v>
      </c>
    </row>
    <row r="45" spans="1:21" x14ac:dyDescent="0.35">
      <c r="A45" s="49"/>
      <c r="B45" s="51">
        <f t="shared" si="2"/>
        <v>0</v>
      </c>
      <c r="C45" s="52" t="str">
        <f t="shared" si="3"/>
        <v>Jan-1900</v>
      </c>
      <c r="D45" s="52" t="str">
        <f>IFERROR(INDEX(Sheet1!$A$2:$A$104,MATCH(SessionData[[#This Row],[Communities]],Sheet1!$B$2:$B$104,0)),"")</f>
        <v/>
      </c>
      <c r="U45" s="51">
        <f>SUM(SessionData[[#This Row],[MALE]:[MEN]])</f>
        <v>0</v>
      </c>
    </row>
    <row r="46" spans="1:21" x14ac:dyDescent="0.35">
      <c r="A46" s="49"/>
      <c r="B46" s="51">
        <f t="shared" si="2"/>
        <v>0</v>
      </c>
      <c r="C46" s="52" t="str">
        <f t="shared" si="3"/>
        <v>Jan-1900</v>
      </c>
      <c r="D46" s="52" t="str">
        <f>IFERROR(INDEX(Sheet1!$A$2:$A$104,MATCH(SessionData[[#This Row],[Communities]],Sheet1!$B$2:$B$104,0)),"")</f>
        <v/>
      </c>
      <c r="U46" s="51">
        <f>SUM(SessionData[[#This Row],[MALE]:[MEN]])</f>
        <v>0</v>
      </c>
    </row>
    <row r="47" spans="1:21" x14ac:dyDescent="0.35">
      <c r="A47" s="49"/>
      <c r="B47" s="51">
        <f t="shared" si="2"/>
        <v>0</v>
      </c>
      <c r="C47" s="52" t="str">
        <f t="shared" si="3"/>
        <v>Jan-1900</v>
      </c>
      <c r="D47" s="52" t="str">
        <f>IFERROR(INDEX(Sheet1!$A$2:$A$104,MATCH(SessionData[[#This Row],[Communities]],Sheet1!$B$2:$B$104,0)),"")</f>
        <v/>
      </c>
      <c r="U47" s="51">
        <f>SUM(SessionData[[#This Row],[MALE]:[MEN]])</f>
        <v>0</v>
      </c>
    </row>
    <row r="48" spans="1:21" x14ac:dyDescent="0.35">
      <c r="A48" s="49"/>
      <c r="B48" s="51">
        <f t="shared" si="2"/>
        <v>0</v>
      </c>
      <c r="C48" s="52" t="str">
        <f t="shared" si="3"/>
        <v>Jan-1900</v>
      </c>
      <c r="D48" s="52" t="str">
        <f>IFERROR(INDEX(Sheet1!$A$2:$A$104,MATCH(SessionData[[#This Row],[Communities]],Sheet1!$B$2:$B$104,0)),"")</f>
        <v/>
      </c>
      <c r="U48" s="51">
        <f>SUM(SessionData[[#This Row],[MALE]:[MEN]])</f>
        <v>0</v>
      </c>
    </row>
    <row r="49" spans="1:21" x14ac:dyDescent="0.35">
      <c r="A49" s="49"/>
      <c r="B49" s="51">
        <f t="shared" si="2"/>
        <v>0</v>
      </c>
      <c r="C49" s="52" t="str">
        <f t="shared" si="3"/>
        <v>Jan-1900</v>
      </c>
      <c r="D49" s="52" t="str">
        <f>IFERROR(INDEX(Sheet1!$A$2:$A$104,MATCH(SessionData[[#This Row],[Communities]],Sheet1!$B$2:$B$104,0)),"")</f>
        <v/>
      </c>
      <c r="U49" s="51">
        <f>SUM(SessionData[[#This Row],[MALE]:[MEN]])</f>
        <v>0</v>
      </c>
    </row>
    <row r="50" spans="1:21" x14ac:dyDescent="0.35">
      <c r="A50" s="49"/>
      <c r="B50" s="51">
        <f t="shared" si="2"/>
        <v>0</v>
      </c>
      <c r="C50" s="52" t="str">
        <f t="shared" si="3"/>
        <v>Jan-1900</v>
      </c>
      <c r="D50" s="52" t="str">
        <f>IFERROR(INDEX(Sheet1!$A$2:$A$104,MATCH(SessionData[[#This Row],[Communities]],Sheet1!$B$2:$B$104,0)),"")</f>
        <v/>
      </c>
      <c r="U50" s="51">
        <f>SUM(SessionData[[#This Row],[MALE]:[MEN]])</f>
        <v>0</v>
      </c>
    </row>
    <row r="51" spans="1:21" x14ac:dyDescent="0.35">
      <c r="A51" s="49"/>
      <c r="B51" s="51">
        <f t="shared" si="2"/>
        <v>0</v>
      </c>
      <c r="C51" s="52" t="str">
        <f t="shared" si="3"/>
        <v>Jan-1900</v>
      </c>
      <c r="D51" s="52" t="str">
        <f>IFERROR(INDEX(Sheet1!$A$2:$A$104,MATCH(SessionData[[#This Row],[Communities]],Sheet1!$B$2:$B$104,0)),"")</f>
        <v/>
      </c>
      <c r="U51" s="51">
        <f>SUM(SessionData[[#This Row],[MALE]:[MEN]])</f>
        <v>0</v>
      </c>
    </row>
    <row r="52" spans="1:21" x14ac:dyDescent="0.35">
      <c r="A52" s="49"/>
      <c r="B52" s="51">
        <f t="shared" si="2"/>
        <v>0</v>
      </c>
      <c r="C52" s="52" t="str">
        <f t="shared" si="3"/>
        <v>Jan-1900</v>
      </c>
      <c r="D52" s="52" t="str">
        <f>IFERROR(INDEX(Sheet1!$A$2:$A$104,MATCH(SessionData[[#This Row],[Communities]],Sheet1!$B$2:$B$104,0)),"")</f>
        <v/>
      </c>
      <c r="U52" s="51">
        <f>SUM(SessionData[[#This Row],[MALE]:[MEN]])</f>
        <v>0</v>
      </c>
    </row>
    <row r="53" spans="1:21" x14ac:dyDescent="0.35">
      <c r="A53" s="49"/>
      <c r="B53" s="51">
        <f t="shared" si="2"/>
        <v>0</v>
      </c>
      <c r="C53" s="52" t="str">
        <f t="shared" si="3"/>
        <v>Jan-1900</v>
      </c>
      <c r="D53" s="52" t="str">
        <f>IFERROR(INDEX(Sheet1!$A$2:$A$104,MATCH(SessionData[[#This Row],[Communities]],Sheet1!$B$2:$B$104,0)),"")</f>
        <v/>
      </c>
      <c r="U53" s="51">
        <f>SUM(SessionData[[#This Row],[MALE]:[MEN]])</f>
        <v>0</v>
      </c>
    </row>
    <row r="54" spans="1:21" x14ac:dyDescent="0.35">
      <c r="A54" s="49"/>
      <c r="B54" s="51">
        <f t="shared" si="2"/>
        <v>0</v>
      </c>
      <c r="C54" s="52" t="str">
        <f t="shared" si="3"/>
        <v>Jan-1900</v>
      </c>
      <c r="D54" s="52" t="str">
        <f>IFERROR(INDEX(Sheet1!$A$2:$A$104,MATCH(SessionData[[#This Row],[Communities]],Sheet1!$B$2:$B$104,0)),"")</f>
        <v/>
      </c>
      <c r="U54" s="51">
        <f>SUM(SessionData[[#This Row],[MALE]:[MEN]])</f>
        <v>0</v>
      </c>
    </row>
    <row r="55" spans="1:21" x14ac:dyDescent="0.35">
      <c r="A55" s="49"/>
      <c r="B55" s="51">
        <f t="shared" si="2"/>
        <v>0</v>
      </c>
      <c r="C55" s="52" t="str">
        <f t="shared" si="3"/>
        <v>Jan-1900</v>
      </c>
      <c r="D55" s="52" t="str">
        <f>IFERROR(INDEX(Sheet1!$A$2:$A$104,MATCH(SessionData[[#This Row],[Communities]],Sheet1!$B$2:$B$104,0)),"")</f>
        <v/>
      </c>
      <c r="U55" s="51">
        <f>SUM(SessionData[[#This Row],[MALE]:[MEN]])</f>
        <v>0</v>
      </c>
    </row>
    <row r="56" spans="1:21" x14ac:dyDescent="0.35">
      <c r="A56" s="49"/>
      <c r="B56" s="51">
        <f t="shared" si="2"/>
        <v>0</v>
      </c>
      <c r="C56" s="52" t="str">
        <f t="shared" si="3"/>
        <v>Jan-1900</v>
      </c>
      <c r="D56" s="52" t="str">
        <f>IFERROR(INDEX(Sheet1!$A$2:$A$104,MATCH(SessionData[[#This Row],[Communities]],Sheet1!$B$2:$B$104,0)),"")</f>
        <v/>
      </c>
      <c r="U56" s="51">
        <f>SUM(SessionData[[#This Row],[MALE]:[MEN]])</f>
        <v>0</v>
      </c>
    </row>
    <row r="57" spans="1:21" x14ac:dyDescent="0.35">
      <c r="A57" s="49"/>
      <c r="B57" s="51">
        <f t="shared" si="2"/>
        <v>0</v>
      </c>
      <c r="C57" s="52" t="str">
        <f t="shared" si="3"/>
        <v>Jan-1900</v>
      </c>
      <c r="D57" s="52" t="str">
        <f>IFERROR(INDEX(Sheet1!$A$2:$A$104,MATCH(SessionData[[#This Row],[Communities]],Sheet1!$B$2:$B$104,0)),"")</f>
        <v/>
      </c>
      <c r="U57" s="51">
        <f>SUM(SessionData[[#This Row],[MALE]:[MEN]])</f>
        <v>0</v>
      </c>
    </row>
    <row r="58" spans="1:21" x14ac:dyDescent="0.35">
      <c r="A58" s="49"/>
      <c r="B58" s="51">
        <f t="shared" si="2"/>
        <v>0</v>
      </c>
      <c r="C58" s="52" t="str">
        <f t="shared" si="3"/>
        <v>Jan-1900</v>
      </c>
      <c r="D58" s="52" t="str">
        <f>IFERROR(INDEX(Sheet1!$A$2:$A$104,MATCH(SessionData[[#This Row],[Communities]],Sheet1!$B$2:$B$104,0)),"")</f>
        <v/>
      </c>
      <c r="U58" s="51">
        <f>SUM(SessionData[[#This Row],[MALE]:[MEN]])</f>
        <v>0</v>
      </c>
    </row>
    <row r="59" spans="1:21" x14ac:dyDescent="0.35">
      <c r="A59" s="49"/>
      <c r="B59" s="51">
        <f t="shared" si="2"/>
        <v>0</v>
      </c>
      <c r="C59" s="52" t="str">
        <f t="shared" si="3"/>
        <v>Jan-1900</v>
      </c>
      <c r="D59" s="52" t="str">
        <f>IFERROR(INDEX(Sheet1!$A$2:$A$104,MATCH(SessionData[[#This Row],[Communities]],Sheet1!$B$2:$B$104,0)),"")</f>
        <v/>
      </c>
      <c r="U59" s="51">
        <f>SUM(SessionData[[#This Row],[MALE]:[MEN]])</f>
        <v>0</v>
      </c>
    </row>
    <row r="60" spans="1:21" x14ac:dyDescent="0.35">
      <c r="A60" s="49"/>
      <c r="B60" s="51">
        <f t="shared" si="2"/>
        <v>0</v>
      </c>
      <c r="C60" s="52" t="str">
        <f t="shared" si="3"/>
        <v>Jan-1900</v>
      </c>
      <c r="D60" s="52" t="str">
        <f>IFERROR(INDEX(Sheet1!$A$2:$A$104,MATCH(SessionData[[#This Row],[Communities]],Sheet1!$B$2:$B$104,0)),"")</f>
        <v/>
      </c>
      <c r="U60" s="51">
        <f>SUM(SessionData[[#This Row],[MALE]:[MEN]])</f>
        <v>0</v>
      </c>
    </row>
    <row r="61" spans="1:21" x14ac:dyDescent="0.35">
      <c r="A61" s="49"/>
      <c r="B61" s="51">
        <f t="shared" si="2"/>
        <v>0</v>
      </c>
      <c r="C61" s="52" t="str">
        <f t="shared" si="3"/>
        <v>Jan-1900</v>
      </c>
      <c r="D61" s="52" t="str">
        <f>IFERROR(INDEX(Sheet1!$A$2:$A$104,MATCH(SessionData[[#This Row],[Communities]],Sheet1!$B$2:$B$104,0)),"")</f>
        <v/>
      </c>
      <c r="U61" s="51">
        <f>SUM(SessionData[[#This Row],[MALE]:[MEN]])</f>
        <v>0</v>
      </c>
    </row>
    <row r="62" spans="1:21" x14ac:dyDescent="0.35">
      <c r="A62" s="49"/>
      <c r="B62" s="51">
        <f t="shared" si="2"/>
        <v>0</v>
      </c>
      <c r="C62" s="52" t="str">
        <f t="shared" si="3"/>
        <v>Jan-1900</v>
      </c>
      <c r="D62" s="52" t="str">
        <f>IFERROR(INDEX(Sheet1!$A$2:$A$104,MATCH(SessionData[[#This Row],[Communities]],Sheet1!$B$2:$B$104,0)),"")</f>
        <v/>
      </c>
      <c r="U62" s="51">
        <f>SUM(SessionData[[#This Row],[MALE]:[MEN]])</f>
        <v>0</v>
      </c>
    </row>
    <row r="63" spans="1:21" x14ac:dyDescent="0.35">
      <c r="A63" s="49"/>
      <c r="B63" s="51">
        <f t="shared" si="2"/>
        <v>0</v>
      </c>
      <c r="C63" s="52" t="str">
        <f t="shared" si="3"/>
        <v>Jan-1900</v>
      </c>
      <c r="D63" s="52" t="str">
        <f>IFERROR(INDEX(Sheet1!$A$2:$A$104,MATCH(SessionData[[#This Row],[Communities]],Sheet1!$B$2:$B$104,0)),"")</f>
        <v/>
      </c>
      <c r="U63" s="51">
        <f>SUM(SessionData[[#This Row],[MALE]:[MEN]])</f>
        <v>0</v>
      </c>
    </row>
    <row r="64" spans="1:21" x14ac:dyDescent="0.35">
      <c r="A64" s="49"/>
      <c r="B64" s="51">
        <f t="shared" si="2"/>
        <v>0</v>
      </c>
      <c r="C64" s="52" t="str">
        <f t="shared" si="3"/>
        <v>Jan-1900</v>
      </c>
      <c r="D64" s="52" t="str">
        <f>IFERROR(INDEX(Sheet1!$A$2:$A$104,MATCH(SessionData[[#This Row],[Communities]],Sheet1!$B$2:$B$104,0)),"")</f>
        <v/>
      </c>
      <c r="U64" s="51">
        <f>SUM(SessionData[[#This Row],[MALE]:[MEN]])</f>
        <v>0</v>
      </c>
    </row>
    <row r="65" spans="1:21" x14ac:dyDescent="0.35">
      <c r="A65" s="49"/>
      <c r="B65" s="51">
        <f t="shared" si="2"/>
        <v>0</v>
      </c>
      <c r="C65" s="52" t="str">
        <f t="shared" si="3"/>
        <v>Jan-1900</v>
      </c>
      <c r="D65" s="52" t="str">
        <f>IFERROR(INDEX(Sheet1!$A$2:$A$104,MATCH(SessionData[[#This Row],[Communities]],Sheet1!$B$2:$B$104,0)),"")</f>
        <v/>
      </c>
      <c r="U65" s="51">
        <f>SUM(SessionData[[#This Row],[MALE]:[MEN]])</f>
        <v>0</v>
      </c>
    </row>
    <row r="66" spans="1:21" x14ac:dyDescent="0.35">
      <c r="A66" s="49"/>
      <c r="B66" s="51">
        <f t="shared" si="2"/>
        <v>0</v>
      </c>
      <c r="C66" s="52" t="str">
        <f t="shared" si="3"/>
        <v>Jan-1900</v>
      </c>
      <c r="D66" s="52" t="str">
        <f>IFERROR(INDEX(Sheet1!$A$2:$A$104,MATCH(SessionData[[#This Row],[Communities]],Sheet1!$B$2:$B$104,0)),"")</f>
        <v/>
      </c>
      <c r="U66" s="51">
        <f>SUM(SessionData[[#This Row],[MALE]:[MEN]])</f>
        <v>0</v>
      </c>
    </row>
    <row r="67" spans="1:21" x14ac:dyDescent="0.35">
      <c r="A67" s="49"/>
      <c r="B67" s="51">
        <f t="shared" ref="B67:B98" si="4">WEEKNUM(A67)</f>
        <v>0</v>
      </c>
      <c r="C67" s="52" t="str">
        <f t="shared" ref="C67:C98" si="5">TEXT(A67,"mmm-yyyy")</f>
        <v>Jan-1900</v>
      </c>
      <c r="D67" s="52" t="str">
        <f>IFERROR(INDEX(Sheet1!$A$2:$A$104,MATCH(SessionData[[#This Row],[Communities]],Sheet1!$B$2:$B$104,0)),"")</f>
        <v/>
      </c>
      <c r="U67" s="51">
        <f>SUM(SessionData[[#This Row],[MALE]:[MEN]])</f>
        <v>0</v>
      </c>
    </row>
    <row r="68" spans="1:21" x14ac:dyDescent="0.35">
      <c r="A68" s="49"/>
      <c r="B68" s="51">
        <f t="shared" si="4"/>
        <v>0</v>
      </c>
      <c r="C68" s="52" t="str">
        <f t="shared" si="5"/>
        <v>Jan-1900</v>
      </c>
      <c r="D68" s="52" t="str">
        <f>IFERROR(INDEX(Sheet1!$A$2:$A$104,MATCH(SessionData[[#This Row],[Communities]],Sheet1!$B$2:$B$104,0)),"")</f>
        <v/>
      </c>
      <c r="U68" s="51">
        <f>SUM(SessionData[[#This Row],[MALE]:[MEN]])</f>
        <v>0</v>
      </c>
    </row>
    <row r="69" spans="1:21" x14ac:dyDescent="0.35">
      <c r="A69" s="49"/>
      <c r="B69" s="51">
        <f t="shared" si="4"/>
        <v>0</v>
      </c>
      <c r="C69" s="52" t="str">
        <f t="shared" si="5"/>
        <v>Jan-1900</v>
      </c>
      <c r="D69" s="52" t="str">
        <f>IFERROR(INDEX(Sheet1!$A$2:$A$104,MATCH(SessionData[[#This Row],[Communities]],Sheet1!$B$2:$B$104,0)),"")</f>
        <v/>
      </c>
      <c r="U69" s="51">
        <f>SUM(SessionData[[#This Row],[MALE]:[MEN]])</f>
        <v>0</v>
      </c>
    </row>
    <row r="70" spans="1:21" x14ac:dyDescent="0.35">
      <c r="A70" s="49"/>
      <c r="B70" s="51">
        <f t="shared" si="4"/>
        <v>0</v>
      </c>
      <c r="C70" s="52" t="str">
        <f t="shared" si="5"/>
        <v>Jan-1900</v>
      </c>
      <c r="D70" s="52" t="str">
        <f>IFERROR(INDEX(Sheet1!$A$2:$A$104,MATCH(SessionData[[#This Row],[Communities]],Sheet1!$B$2:$B$104,0)),"")</f>
        <v/>
      </c>
      <c r="U70" s="51">
        <f>SUM(SessionData[[#This Row],[MALE]:[MEN]])</f>
        <v>0</v>
      </c>
    </row>
    <row r="71" spans="1:21" x14ac:dyDescent="0.35">
      <c r="A71" s="49"/>
      <c r="B71" s="51">
        <f t="shared" si="4"/>
        <v>0</v>
      </c>
      <c r="C71" s="52" t="str">
        <f t="shared" si="5"/>
        <v>Jan-1900</v>
      </c>
      <c r="D71" s="52" t="str">
        <f>IFERROR(INDEX(Sheet1!$A$2:$A$104,MATCH(SessionData[[#This Row],[Communities]],Sheet1!$B$2:$B$104,0)),"")</f>
        <v/>
      </c>
      <c r="U71" s="51">
        <f>SUM(SessionData[[#This Row],[MALE]:[MEN]])</f>
        <v>0</v>
      </c>
    </row>
    <row r="72" spans="1:21" x14ac:dyDescent="0.35">
      <c r="A72" s="49"/>
      <c r="B72" s="51">
        <f t="shared" si="4"/>
        <v>0</v>
      </c>
      <c r="C72" s="52" t="str">
        <f t="shared" si="5"/>
        <v>Jan-1900</v>
      </c>
      <c r="D72" s="52" t="str">
        <f>IFERROR(INDEX(Sheet1!$A$2:$A$104,MATCH(SessionData[[#This Row],[Communities]],Sheet1!$B$2:$B$104,0)),"")</f>
        <v/>
      </c>
      <c r="U72" s="51">
        <f>SUM(SessionData[[#This Row],[MALE]:[MEN]])</f>
        <v>0</v>
      </c>
    </row>
    <row r="73" spans="1:21" x14ac:dyDescent="0.35">
      <c r="A73" s="49"/>
      <c r="B73" s="51">
        <f t="shared" si="4"/>
        <v>0</v>
      </c>
      <c r="C73" s="52" t="str">
        <f t="shared" si="5"/>
        <v>Jan-1900</v>
      </c>
      <c r="D73" s="52" t="str">
        <f>IFERROR(INDEX(Sheet1!$A$2:$A$104,MATCH(SessionData[[#This Row],[Communities]],Sheet1!$B$2:$B$104,0)),"")</f>
        <v/>
      </c>
      <c r="U73" s="51">
        <f>SUM(SessionData[[#This Row],[MALE]:[MEN]])</f>
        <v>0</v>
      </c>
    </row>
    <row r="74" spans="1:21" x14ac:dyDescent="0.35">
      <c r="A74" s="49"/>
      <c r="B74" s="51">
        <f t="shared" si="4"/>
        <v>0</v>
      </c>
      <c r="C74" s="52" t="str">
        <f t="shared" si="5"/>
        <v>Jan-1900</v>
      </c>
      <c r="D74" s="52" t="str">
        <f>IFERROR(INDEX(Sheet1!$A$2:$A$104,MATCH(SessionData[[#This Row],[Communities]],Sheet1!$B$2:$B$104,0)),"")</f>
        <v/>
      </c>
      <c r="U74" s="51">
        <f>SUM(SessionData[[#This Row],[MALE]:[MEN]])</f>
        <v>0</v>
      </c>
    </row>
    <row r="75" spans="1:21" x14ac:dyDescent="0.35">
      <c r="A75" s="49"/>
      <c r="B75" s="51">
        <f t="shared" si="4"/>
        <v>0</v>
      </c>
      <c r="C75" s="52" t="str">
        <f t="shared" si="5"/>
        <v>Jan-1900</v>
      </c>
      <c r="D75" s="52" t="str">
        <f>IFERROR(INDEX(Sheet1!$A$2:$A$104,MATCH(SessionData[[#This Row],[Communities]],Sheet1!$B$2:$B$104,0)),"")</f>
        <v/>
      </c>
      <c r="U75" s="51">
        <f>SUM(SessionData[[#This Row],[MALE]:[MEN]])</f>
        <v>0</v>
      </c>
    </row>
    <row r="76" spans="1:21" x14ac:dyDescent="0.35">
      <c r="A76" s="49"/>
      <c r="B76" s="51">
        <f t="shared" si="4"/>
        <v>0</v>
      </c>
      <c r="C76" s="52" t="str">
        <f t="shared" si="5"/>
        <v>Jan-1900</v>
      </c>
      <c r="D76" s="52" t="str">
        <f>IFERROR(INDEX(Sheet1!$A$2:$A$104,MATCH(SessionData[[#This Row],[Communities]],Sheet1!$B$2:$B$104,0)),"")</f>
        <v/>
      </c>
      <c r="U76" s="51">
        <f>SUM(SessionData[[#This Row],[MALE]:[MEN]])</f>
        <v>0</v>
      </c>
    </row>
    <row r="77" spans="1:21" x14ac:dyDescent="0.35">
      <c r="A77" s="49"/>
      <c r="B77" s="51">
        <f t="shared" si="4"/>
        <v>0</v>
      </c>
      <c r="C77" s="52" t="str">
        <f t="shared" si="5"/>
        <v>Jan-1900</v>
      </c>
      <c r="D77" s="52" t="str">
        <f>IFERROR(INDEX(Sheet1!$A$2:$A$104,MATCH(SessionData[[#This Row],[Communities]],Sheet1!$B$2:$B$104,0)),"")</f>
        <v/>
      </c>
      <c r="U77" s="51">
        <f>SUM(SessionData[[#This Row],[MALE]:[MEN]])</f>
        <v>0</v>
      </c>
    </row>
    <row r="78" spans="1:21" x14ac:dyDescent="0.35">
      <c r="A78" s="49"/>
      <c r="B78" s="51">
        <f t="shared" si="4"/>
        <v>0</v>
      </c>
      <c r="C78" s="52" t="str">
        <f t="shared" si="5"/>
        <v>Jan-1900</v>
      </c>
      <c r="D78" s="52" t="str">
        <f>IFERROR(INDEX(Sheet1!$A$2:$A$104,MATCH(SessionData[[#This Row],[Communities]],Sheet1!$B$2:$B$104,0)),"")</f>
        <v/>
      </c>
      <c r="U78" s="51">
        <f>SUM(SessionData[[#This Row],[MALE]:[MEN]])</f>
        <v>0</v>
      </c>
    </row>
    <row r="79" spans="1:21" x14ac:dyDescent="0.35">
      <c r="A79" s="49"/>
      <c r="B79" s="51">
        <f t="shared" si="4"/>
        <v>0</v>
      </c>
      <c r="C79" s="52" t="str">
        <f t="shared" si="5"/>
        <v>Jan-1900</v>
      </c>
      <c r="D79" s="52" t="str">
        <f>IFERROR(INDEX(Sheet1!$A$2:$A$104,MATCH(SessionData[[#This Row],[Communities]],Sheet1!$B$2:$B$104,0)),"")</f>
        <v/>
      </c>
      <c r="U79" s="51">
        <f>SUM(SessionData[[#This Row],[MALE]:[MEN]])</f>
        <v>0</v>
      </c>
    </row>
    <row r="80" spans="1:21" x14ac:dyDescent="0.35">
      <c r="A80" s="49"/>
      <c r="B80" s="51">
        <f t="shared" si="4"/>
        <v>0</v>
      </c>
      <c r="C80" s="52" t="str">
        <f t="shared" si="5"/>
        <v>Jan-1900</v>
      </c>
      <c r="D80" s="52" t="str">
        <f>IFERROR(INDEX(Sheet1!$A$2:$A$104,MATCH(SessionData[[#This Row],[Communities]],Sheet1!$B$2:$B$104,0)),"")</f>
        <v/>
      </c>
      <c r="U80" s="51">
        <f>SUM(SessionData[[#This Row],[MALE]:[MEN]])</f>
        <v>0</v>
      </c>
    </row>
    <row r="81" spans="1:21" x14ac:dyDescent="0.35">
      <c r="A81" s="49"/>
      <c r="B81" s="51">
        <f t="shared" si="4"/>
        <v>0</v>
      </c>
      <c r="C81" s="52" t="str">
        <f t="shared" si="5"/>
        <v>Jan-1900</v>
      </c>
      <c r="D81" s="52" t="str">
        <f>IFERROR(INDEX(Sheet1!$A$2:$A$104,MATCH(SessionData[[#This Row],[Communities]],Sheet1!$B$2:$B$104,0)),"")</f>
        <v/>
      </c>
      <c r="U81" s="51">
        <f>SUM(SessionData[[#This Row],[MALE]:[MEN]])</f>
        <v>0</v>
      </c>
    </row>
    <row r="82" spans="1:21" x14ac:dyDescent="0.35">
      <c r="A82" s="49"/>
      <c r="B82" s="51">
        <f t="shared" si="4"/>
        <v>0</v>
      </c>
      <c r="C82" s="52" t="str">
        <f t="shared" si="5"/>
        <v>Jan-1900</v>
      </c>
      <c r="D82" s="52" t="str">
        <f>IFERROR(INDEX(Sheet1!$A$2:$A$104,MATCH(SessionData[[#This Row],[Communities]],Sheet1!$B$2:$B$104,0)),"")</f>
        <v/>
      </c>
      <c r="U82" s="51">
        <f>SUM(SessionData[[#This Row],[MALE]:[MEN]])</f>
        <v>0</v>
      </c>
    </row>
    <row r="83" spans="1:21" x14ac:dyDescent="0.35">
      <c r="A83" s="49"/>
      <c r="B83" s="51">
        <f t="shared" si="4"/>
        <v>0</v>
      </c>
      <c r="C83" s="52" t="str">
        <f t="shared" si="5"/>
        <v>Jan-1900</v>
      </c>
      <c r="D83" s="52" t="str">
        <f>IFERROR(INDEX(Sheet1!$A$2:$A$104,MATCH(SessionData[[#This Row],[Communities]],Sheet1!$B$2:$B$104,0)),"")</f>
        <v/>
      </c>
      <c r="U83" s="51">
        <f>SUM(SessionData[[#This Row],[MALE]:[MEN]])</f>
        <v>0</v>
      </c>
    </row>
    <row r="84" spans="1:21" x14ac:dyDescent="0.35">
      <c r="A84" s="49"/>
      <c r="B84" s="51">
        <f t="shared" si="4"/>
        <v>0</v>
      </c>
      <c r="C84" s="52" t="str">
        <f t="shared" si="5"/>
        <v>Jan-1900</v>
      </c>
      <c r="D84" s="52" t="str">
        <f>IFERROR(INDEX(Sheet1!$A$2:$A$104,MATCH(SessionData[[#This Row],[Communities]],Sheet1!$B$2:$B$104,0)),"")</f>
        <v/>
      </c>
      <c r="U84" s="51">
        <f>SUM(SessionData[[#This Row],[MALE]:[MEN]])</f>
        <v>0</v>
      </c>
    </row>
    <row r="85" spans="1:21" x14ac:dyDescent="0.35">
      <c r="A85" s="49"/>
      <c r="B85" s="51">
        <f t="shared" si="4"/>
        <v>0</v>
      </c>
      <c r="C85" s="52" t="str">
        <f t="shared" si="5"/>
        <v>Jan-1900</v>
      </c>
      <c r="D85" s="52" t="str">
        <f>IFERROR(INDEX(Sheet1!$A$2:$A$104,MATCH(SessionData[[#This Row],[Communities]],Sheet1!$B$2:$B$104,0)),"")</f>
        <v/>
      </c>
      <c r="U85" s="51">
        <f>SUM(SessionData[[#This Row],[MALE]:[MEN]])</f>
        <v>0</v>
      </c>
    </row>
    <row r="86" spans="1:21" x14ac:dyDescent="0.35">
      <c r="A86" s="49"/>
      <c r="B86" s="51">
        <f t="shared" si="4"/>
        <v>0</v>
      </c>
      <c r="C86" s="52" t="str">
        <f t="shared" si="5"/>
        <v>Jan-1900</v>
      </c>
      <c r="D86" s="52" t="str">
        <f>IFERROR(INDEX(Sheet1!$A$2:$A$104,MATCH(SessionData[[#This Row],[Communities]],Sheet1!$B$2:$B$104,0)),"")</f>
        <v/>
      </c>
      <c r="U86" s="51">
        <f>SUM(SessionData[[#This Row],[MALE]:[MEN]])</f>
        <v>0</v>
      </c>
    </row>
    <row r="87" spans="1:21" x14ac:dyDescent="0.35">
      <c r="A87" s="49"/>
      <c r="B87" s="51">
        <f t="shared" si="4"/>
        <v>0</v>
      </c>
      <c r="C87" s="52" t="str">
        <f t="shared" si="5"/>
        <v>Jan-1900</v>
      </c>
      <c r="D87" s="52" t="str">
        <f>IFERROR(INDEX(Sheet1!$A$2:$A$104,MATCH(SessionData[[#This Row],[Communities]],Sheet1!$B$2:$B$104,0)),"")</f>
        <v/>
      </c>
      <c r="U87" s="51">
        <f>SUM(SessionData[[#This Row],[MALE]:[MEN]])</f>
        <v>0</v>
      </c>
    </row>
    <row r="88" spans="1:21" x14ac:dyDescent="0.35">
      <c r="A88" s="49"/>
      <c r="B88" s="51">
        <f t="shared" si="4"/>
        <v>0</v>
      </c>
      <c r="C88" s="52" t="str">
        <f t="shared" si="5"/>
        <v>Jan-1900</v>
      </c>
      <c r="D88" s="52" t="str">
        <f>IFERROR(INDEX(Sheet1!$A$2:$A$104,MATCH(SessionData[[#This Row],[Communities]],Sheet1!$B$2:$B$104,0)),"")</f>
        <v/>
      </c>
      <c r="U88" s="51">
        <f>SUM(SessionData[[#This Row],[MALE]:[MEN]])</f>
        <v>0</v>
      </c>
    </row>
    <row r="89" spans="1:21" x14ac:dyDescent="0.35">
      <c r="A89" s="49"/>
      <c r="B89" s="51">
        <f t="shared" si="4"/>
        <v>0</v>
      </c>
      <c r="C89" s="52" t="str">
        <f t="shared" si="5"/>
        <v>Jan-1900</v>
      </c>
      <c r="D89" s="52" t="str">
        <f>IFERROR(INDEX(Sheet1!$A$2:$A$104,MATCH(SessionData[[#This Row],[Communities]],Sheet1!$B$2:$B$104,0)),"")</f>
        <v/>
      </c>
      <c r="U89" s="51">
        <f>SUM(SessionData[[#This Row],[MALE]:[MEN]])</f>
        <v>0</v>
      </c>
    </row>
    <row r="90" spans="1:21" x14ac:dyDescent="0.35">
      <c r="A90" s="49"/>
      <c r="B90" s="51">
        <f t="shared" si="4"/>
        <v>0</v>
      </c>
      <c r="C90" s="52" t="str">
        <f t="shared" si="5"/>
        <v>Jan-1900</v>
      </c>
      <c r="D90" s="52" t="str">
        <f>IFERROR(INDEX(Sheet1!$A$2:$A$104,MATCH(SessionData[[#This Row],[Communities]],Sheet1!$B$2:$B$104,0)),"")</f>
        <v/>
      </c>
      <c r="U90" s="51">
        <f>SUM(SessionData[[#This Row],[MALE]:[MEN]])</f>
        <v>0</v>
      </c>
    </row>
    <row r="91" spans="1:21" x14ac:dyDescent="0.35">
      <c r="A91" s="49"/>
      <c r="B91" s="51">
        <f t="shared" si="4"/>
        <v>0</v>
      </c>
      <c r="C91" s="52" t="str">
        <f t="shared" si="5"/>
        <v>Jan-1900</v>
      </c>
      <c r="D91" s="52" t="str">
        <f>IFERROR(INDEX(Sheet1!$A$2:$A$104,MATCH(SessionData[[#This Row],[Communities]],Sheet1!$B$2:$B$104,0)),"")</f>
        <v/>
      </c>
      <c r="U91" s="51">
        <f>SUM(SessionData[[#This Row],[MALE]:[MEN]])</f>
        <v>0</v>
      </c>
    </row>
    <row r="92" spans="1:21" x14ac:dyDescent="0.35">
      <c r="A92" s="49"/>
      <c r="B92" s="51">
        <f t="shared" si="4"/>
        <v>0</v>
      </c>
      <c r="C92" s="52" t="str">
        <f t="shared" si="5"/>
        <v>Jan-1900</v>
      </c>
      <c r="D92" s="52" t="str">
        <f>IFERROR(INDEX(Sheet1!$A$2:$A$104,MATCH(SessionData[[#This Row],[Communities]],Sheet1!$B$2:$B$104,0)),"")</f>
        <v/>
      </c>
      <c r="U92" s="51">
        <f>SUM(SessionData[[#This Row],[MALE]:[MEN]])</f>
        <v>0</v>
      </c>
    </row>
    <row r="93" spans="1:21" x14ac:dyDescent="0.35">
      <c r="A93" s="49"/>
      <c r="B93" s="51">
        <f t="shared" si="4"/>
        <v>0</v>
      </c>
      <c r="C93" s="52" t="str">
        <f t="shared" si="5"/>
        <v>Jan-1900</v>
      </c>
      <c r="D93" s="52" t="str">
        <f>IFERROR(INDEX(Sheet1!$A$2:$A$104,MATCH(SessionData[[#This Row],[Communities]],Sheet1!$B$2:$B$104,0)),"")</f>
        <v/>
      </c>
      <c r="U93" s="51">
        <f>SUM(SessionData[[#This Row],[MALE]:[MEN]])</f>
        <v>0</v>
      </c>
    </row>
    <row r="94" spans="1:21" x14ac:dyDescent="0.35">
      <c r="A94" s="49"/>
      <c r="B94" s="51">
        <f t="shared" si="4"/>
        <v>0</v>
      </c>
      <c r="C94" s="52" t="str">
        <f t="shared" si="5"/>
        <v>Jan-1900</v>
      </c>
      <c r="D94" s="52" t="str">
        <f>IFERROR(INDEX(Sheet1!$A$2:$A$104,MATCH(SessionData[[#This Row],[Communities]],Sheet1!$B$2:$B$104,0)),"")</f>
        <v/>
      </c>
      <c r="U94" s="51">
        <f>SUM(SessionData[[#This Row],[MALE]:[MEN]])</f>
        <v>0</v>
      </c>
    </row>
    <row r="95" spans="1:21" x14ac:dyDescent="0.35">
      <c r="A95" s="49"/>
      <c r="B95" s="51">
        <f t="shared" si="4"/>
        <v>0</v>
      </c>
      <c r="C95" s="52" t="str">
        <f t="shared" si="5"/>
        <v>Jan-1900</v>
      </c>
      <c r="D95" s="52" t="str">
        <f>IFERROR(INDEX(Sheet1!$A$2:$A$104,MATCH(SessionData[[#This Row],[Communities]],Sheet1!$B$2:$B$104,0)),"")</f>
        <v/>
      </c>
      <c r="U95" s="51">
        <f>SUM(SessionData[[#This Row],[MALE]:[MEN]])</f>
        <v>0</v>
      </c>
    </row>
    <row r="96" spans="1:21" x14ac:dyDescent="0.35">
      <c r="A96" s="49"/>
      <c r="B96" s="51">
        <f t="shared" si="4"/>
        <v>0</v>
      </c>
      <c r="C96" s="52" t="str">
        <f t="shared" si="5"/>
        <v>Jan-1900</v>
      </c>
      <c r="D96" s="52" t="str">
        <f>IFERROR(INDEX(Sheet1!$A$2:$A$104,MATCH(SessionData[[#This Row],[Communities]],Sheet1!$B$2:$B$104,0)),"")</f>
        <v/>
      </c>
      <c r="U96" s="51">
        <f>SUM(SessionData[[#This Row],[MALE]:[MEN]])</f>
        <v>0</v>
      </c>
    </row>
    <row r="97" spans="1:21" x14ac:dyDescent="0.35">
      <c r="A97" s="49"/>
      <c r="B97" s="51">
        <f t="shared" si="4"/>
        <v>0</v>
      </c>
      <c r="C97" s="52" t="str">
        <f t="shared" si="5"/>
        <v>Jan-1900</v>
      </c>
      <c r="D97" s="52" t="str">
        <f>IFERROR(INDEX(Sheet1!$A$2:$A$104,MATCH(SessionData[[#This Row],[Communities]],Sheet1!$B$2:$B$104,0)),"")</f>
        <v/>
      </c>
      <c r="U97" s="51">
        <f>SUM(SessionData[[#This Row],[MALE]:[MEN]])</f>
        <v>0</v>
      </c>
    </row>
    <row r="98" spans="1:21" x14ac:dyDescent="0.35">
      <c r="A98" s="49"/>
      <c r="B98" s="51">
        <f t="shared" si="4"/>
        <v>0</v>
      </c>
      <c r="C98" s="52" t="str">
        <f t="shared" si="5"/>
        <v>Jan-1900</v>
      </c>
      <c r="D98" s="52" t="str">
        <f>IFERROR(INDEX(Sheet1!$A$2:$A$104,MATCH(SessionData[[#This Row],[Communities]],Sheet1!$B$2:$B$104,0)),"")</f>
        <v/>
      </c>
      <c r="U98" s="51">
        <f>SUM(SessionData[[#This Row],[MALE]:[MEN]])</f>
        <v>0</v>
      </c>
    </row>
    <row r="99" spans="1:21" x14ac:dyDescent="0.35">
      <c r="A99" s="49"/>
      <c r="B99" s="51">
        <f t="shared" ref="B99:B130" si="6">WEEKNUM(A99)</f>
        <v>0</v>
      </c>
      <c r="C99" s="52" t="str">
        <f t="shared" ref="C99:C130" si="7">TEXT(A99,"mmm-yyyy")</f>
        <v>Jan-1900</v>
      </c>
      <c r="D99" s="52" t="str">
        <f>IFERROR(INDEX(Sheet1!$A$2:$A$104,MATCH(SessionData[[#This Row],[Communities]],Sheet1!$B$2:$B$104,0)),"")</f>
        <v/>
      </c>
      <c r="U99" s="51">
        <f>SUM(SessionData[[#This Row],[MALE]:[MEN]])</f>
        <v>0</v>
      </c>
    </row>
    <row r="100" spans="1:21" x14ac:dyDescent="0.35">
      <c r="A100" s="49"/>
      <c r="B100" s="51">
        <f t="shared" si="6"/>
        <v>0</v>
      </c>
      <c r="C100" s="52" t="str">
        <f t="shared" si="7"/>
        <v>Jan-1900</v>
      </c>
      <c r="D100" s="52" t="str">
        <f>IFERROR(INDEX(Sheet1!$A$2:$A$104,MATCH(SessionData[[#This Row],[Communities]],Sheet1!$B$2:$B$104,0)),"")</f>
        <v/>
      </c>
      <c r="U100" s="51">
        <f>SUM(SessionData[[#This Row],[MALE]:[MEN]])</f>
        <v>0</v>
      </c>
    </row>
    <row r="101" spans="1:21" x14ac:dyDescent="0.35">
      <c r="A101" s="49"/>
      <c r="B101" s="51">
        <f t="shared" si="6"/>
        <v>0</v>
      </c>
      <c r="C101" s="52" t="str">
        <f t="shared" si="7"/>
        <v>Jan-1900</v>
      </c>
      <c r="D101" s="52" t="str">
        <f>IFERROR(INDEX(Sheet1!$A$2:$A$104,MATCH(SessionData[[#This Row],[Communities]],Sheet1!$B$2:$B$104,0)),"")</f>
        <v/>
      </c>
      <c r="U101" s="51">
        <f>SUM(SessionData[[#This Row],[MALE]:[MEN]])</f>
        <v>0</v>
      </c>
    </row>
    <row r="102" spans="1:21" x14ac:dyDescent="0.35">
      <c r="A102" s="49"/>
      <c r="B102" s="51">
        <f t="shared" si="6"/>
        <v>0</v>
      </c>
      <c r="C102" s="52" t="str">
        <f t="shared" si="7"/>
        <v>Jan-1900</v>
      </c>
      <c r="D102" s="52" t="str">
        <f>IFERROR(INDEX(Sheet1!$A$2:$A$104,MATCH(SessionData[[#This Row],[Communities]],Sheet1!$B$2:$B$104,0)),"")</f>
        <v/>
      </c>
      <c r="U102" s="51">
        <f>SUM(SessionData[[#This Row],[MALE]:[MEN]])</f>
        <v>0</v>
      </c>
    </row>
    <row r="103" spans="1:21" x14ac:dyDescent="0.35">
      <c r="A103" s="49"/>
      <c r="B103" s="51">
        <f t="shared" si="6"/>
        <v>0</v>
      </c>
      <c r="C103" s="52" t="str">
        <f t="shared" si="7"/>
        <v>Jan-1900</v>
      </c>
      <c r="D103" s="52" t="str">
        <f>IFERROR(INDEX(Sheet1!$A$2:$A$104,MATCH(SessionData[[#This Row],[Communities]],Sheet1!$B$2:$B$104,0)),"")</f>
        <v/>
      </c>
      <c r="U103" s="51">
        <f>SUM(SessionData[[#This Row],[MALE]:[MEN]])</f>
        <v>0</v>
      </c>
    </row>
    <row r="104" spans="1:21" x14ac:dyDescent="0.35">
      <c r="A104" s="49"/>
      <c r="B104" s="51">
        <f t="shared" si="6"/>
        <v>0</v>
      </c>
      <c r="C104" s="52" t="str">
        <f t="shared" si="7"/>
        <v>Jan-1900</v>
      </c>
      <c r="D104" s="52" t="str">
        <f>IFERROR(INDEX(Sheet1!$A$2:$A$104,MATCH(SessionData[[#This Row],[Communities]],Sheet1!$B$2:$B$104,0)),"")</f>
        <v/>
      </c>
      <c r="U104" s="51">
        <f>SUM(SessionData[[#This Row],[MALE]:[MEN]])</f>
        <v>0</v>
      </c>
    </row>
    <row r="105" spans="1:21" x14ac:dyDescent="0.35">
      <c r="A105" s="49"/>
      <c r="B105" s="51">
        <f t="shared" si="6"/>
        <v>0</v>
      </c>
      <c r="C105" s="52" t="str">
        <f t="shared" si="7"/>
        <v>Jan-1900</v>
      </c>
      <c r="D105" s="52" t="str">
        <f>IFERROR(INDEX(Sheet1!$A$2:$A$104,MATCH(SessionData[[#This Row],[Communities]],Sheet1!$B$2:$B$104,0)),"")</f>
        <v/>
      </c>
      <c r="U105" s="51">
        <f>SUM(SessionData[[#This Row],[MALE]:[MEN]])</f>
        <v>0</v>
      </c>
    </row>
    <row r="106" spans="1:21" x14ac:dyDescent="0.35">
      <c r="A106" s="49"/>
      <c r="B106" s="51">
        <f t="shared" si="6"/>
        <v>0</v>
      </c>
      <c r="C106" s="52" t="str">
        <f t="shared" si="7"/>
        <v>Jan-1900</v>
      </c>
      <c r="D106" s="52" t="str">
        <f>IFERROR(INDEX(Sheet1!$A$2:$A$104,MATCH(SessionData[[#This Row],[Communities]],Sheet1!$B$2:$B$104,0)),"")</f>
        <v/>
      </c>
      <c r="U106" s="51">
        <f>SUM(SessionData[[#This Row],[MALE]:[MEN]])</f>
        <v>0</v>
      </c>
    </row>
    <row r="107" spans="1:21" x14ac:dyDescent="0.35">
      <c r="A107" s="49"/>
      <c r="B107" s="51">
        <f t="shared" si="6"/>
        <v>0</v>
      </c>
      <c r="C107" s="52" t="str">
        <f t="shared" si="7"/>
        <v>Jan-1900</v>
      </c>
      <c r="D107" s="52" t="str">
        <f>IFERROR(INDEX(Sheet1!$A$2:$A$104,MATCH(SessionData[[#This Row],[Communities]],Sheet1!$B$2:$B$104,0)),"")</f>
        <v/>
      </c>
      <c r="U107" s="51">
        <f>SUM(SessionData[[#This Row],[MALE]:[MEN]])</f>
        <v>0</v>
      </c>
    </row>
    <row r="108" spans="1:21" x14ac:dyDescent="0.35">
      <c r="A108" s="49"/>
      <c r="B108" s="51">
        <f t="shared" si="6"/>
        <v>0</v>
      </c>
      <c r="C108" s="52" t="str">
        <f t="shared" si="7"/>
        <v>Jan-1900</v>
      </c>
      <c r="D108" s="52" t="str">
        <f>IFERROR(INDEX(Sheet1!$A$2:$A$104,MATCH(SessionData[[#This Row],[Communities]],Sheet1!$B$2:$B$104,0)),"")</f>
        <v/>
      </c>
      <c r="U108" s="51">
        <f>SUM(SessionData[[#This Row],[MALE]:[MEN]])</f>
        <v>0</v>
      </c>
    </row>
    <row r="109" spans="1:21" x14ac:dyDescent="0.35">
      <c r="A109" s="49"/>
      <c r="B109" s="51">
        <f t="shared" si="6"/>
        <v>0</v>
      </c>
      <c r="C109" s="52" t="str">
        <f t="shared" si="7"/>
        <v>Jan-1900</v>
      </c>
      <c r="D109" s="52" t="str">
        <f>IFERROR(INDEX(Sheet1!$A$2:$A$104,MATCH(SessionData[[#This Row],[Communities]],Sheet1!$B$2:$B$104,0)),"")</f>
        <v/>
      </c>
      <c r="U109" s="51">
        <f>SUM(SessionData[[#This Row],[MALE]:[MEN]])</f>
        <v>0</v>
      </c>
    </row>
    <row r="110" spans="1:21" x14ac:dyDescent="0.35">
      <c r="A110" s="49"/>
      <c r="B110" s="51">
        <f t="shared" si="6"/>
        <v>0</v>
      </c>
      <c r="C110" s="52" t="str">
        <f t="shared" si="7"/>
        <v>Jan-1900</v>
      </c>
      <c r="D110" s="52" t="str">
        <f>IFERROR(INDEX(Sheet1!$A$2:$A$104,MATCH(SessionData[[#This Row],[Communities]],Sheet1!$B$2:$B$104,0)),"")</f>
        <v/>
      </c>
      <c r="U110" s="51">
        <f>SUM(SessionData[[#This Row],[MALE]:[MEN]])</f>
        <v>0</v>
      </c>
    </row>
    <row r="111" spans="1:21" x14ac:dyDescent="0.35">
      <c r="A111" s="49"/>
      <c r="B111" s="51">
        <f t="shared" si="6"/>
        <v>0</v>
      </c>
      <c r="C111" s="52" t="str">
        <f t="shared" si="7"/>
        <v>Jan-1900</v>
      </c>
      <c r="D111" s="52" t="str">
        <f>IFERROR(INDEX(Sheet1!$A$2:$A$104,MATCH(SessionData[[#This Row],[Communities]],Sheet1!$B$2:$B$104,0)),"")</f>
        <v/>
      </c>
      <c r="U111" s="51">
        <f>SUM(SessionData[[#This Row],[MALE]:[MEN]])</f>
        <v>0</v>
      </c>
    </row>
    <row r="112" spans="1:21" x14ac:dyDescent="0.35">
      <c r="A112" s="49"/>
      <c r="B112" s="51">
        <f t="shared" si="6"/>
        <v>0</v>
      </c>
      <c r="C112" s="52" t="str">
        <f t="shared" si="7"/>
        <v>Jan-1900</v>
      </c>
      <c r="D112" s="52" t="str">
        <f>IFERROR(INDEX(Sheet1!$A$2:$A$104,MATCH(SessionData[[#This Row],[Communities]],Sheet1!$B$2:$B$104,0)),"")</f>
        <v/>
      </c>
      <c r="U112" s="51">
        <f>SUM(SessionData[[#This Row],[MALE]:[MEN]])</f>
        <v>0</v>
      </c>
    </row>
    <row r="113" spans="1:21" x14ac:dyDescent="0.35">
      <c r="A113" s="49"/>
      <c r="B113" s="51">
        <f t="shared" si="6"/>
        <v>0</v>
      </c>
      <c r="C113" s="52" t="str">
        <f t="shared" si="7"/>
        <v>Jan-1900</v>
      </c>
      <c r="D113" s="52" t="str">
        <f>IFERROR(INDEX(Sheet1!$A$2:$A$104,MATCH(SessionData[[#This Row],[Communities]],Sheet1!$B$2:$B$104,0)),"")</f>
        <v/>
      </c>
      <c r="U113" s="51">
        <f>SUM(SessionData[[#This Row],[MALE]:[MEN]])</f>
        <v>0</v>
      </c>
    </row>
    <row r="114" spans="1:21" x14ac:dyDescent="0.35">
      <c r="A114" s="49"/>
      <c r="B114" s="51">
        <f t="shared" si="6"/>
        <v>0</v>
      </c>
      <c r="C114" s="52" t="str">
        <f t="shared" si="7"/>
        <v>Jan-1900</v>
      </c>
      <c r="D114" s="52" t="str">
        <f>IFERROR(INDEX(Sheet1!$A$2:$A$104,MATCH(SessionData[[#This Row],[Communities]],Sheet1!$B$2:$B$104,0)),"")</f>
        <v/>
      </c>
      <c r="U114" s="51">
        <f>SUM(SessionData[[#This Row],[MALE]:[MEN]])</f>
        <v>0</v>
      </c>
    </row>
    <row r="115" spans="1:21" x14ac:dyDescent="0.35">
      <c r="A115" s="49"/>
      <c r="B115" s="51">
        <f t="shared" si="6"/>
        <v>0</v>
      </c>
      <c r="C115" s="52" t="str">
        <f t="shared" si="7"/>
        <v>Jan-1900</v>
      </c>
      <c r="D115" s="52" t="str">
        <f>IFERROR(INDEX(Sheet1!$A$2:$A$104,MATCH(SessionData[[#This Row],[Communities]],Sheet1!$B$2:$B$104,0)),"")</f>
        <v/>
      </c>
      <c r="U115" s="51">
        <f>SUM(SessionData[[#This Row],[MALE]:[MEN]])</f>
        <v>0</v>
      </c>
    </row>
    <row r="116" spans="1:21" x14ac:dyDescent="0.35">
      <c r="A116" s="49"/>
      <c r="B116" s="51">
        <f t="shared" si="6"/>
        <v>0</v>
      </c>
      <c r="C116" s="52" t="str">
        <f t="shared" si="7"/>
        <v>Jan-1900</v>
      </c>
      <c r="D116" s="52" t="str">
        <f>IFERROR(INDEX(Sheet1!$A$2:$A$104,MATCH(SessionData[[#This Row],[Communities]],Sheet1!$B$2:$B$104,0)),"")</f>
        <v/>
      </c>
      <c r="U116" s="51">
        <f>SUM(SessionData[[#This Row],[MALE]:[MEN]])</f>
        <v>0</v>
      </c>
    </row>
    <row r="117" spans="1:21" x14ac:dyDescent="0.35">
      <c r="A117" s="49"/>
      <c r="B117" s="51">
        <f t="shared" si="6"/>
        <v>0</v>
      </c>
      <c r="C117" s="52" t="str">
        <f t="shared" si="7"/>
        <v>Jan-1900</v>
      </c>
      <c r="D117" s="52" t="str">
        <f>IFERROR(INDEX(Sheet1!$A$2:$A$104,MATCH(SessionData[[#This Row],[Communities]],Sheet1!$B$2:$B$104,0)),"")</f>
        <v/>
      </c>
      <c r="U117" s="51">
        <f>SUM(SessionData[[#This Row],[MALE]:[MEN]])</f>
        <v>0</v>
      </c>
    </row>
    <row r="118" spans="1:21" x14ac:dyDescent="0.35">
      <c r="A118" s="49"/>
      <c r="B118" s="51">
        <f t="shared" si="6"/>
        <v>0</v>
      </c>
      <c r="C118" s="52" t="str">
        <f t="shared" si="7"/>
        <v>Jan-1900</v>
      </c>
      <c r="D118" s="52" t="str">
        <f>IFERROR(INDEX(Sheet1!$A$2:$A$104,MATCH(SessionData[[#This Row],[Communities]],Sheet1!$B$2:$B$104,0)),"")</f>
        <v/>
      </c>
      <c r="U118" s="51">
        <f>SUM(SessionData[[#This Row],[MALE]:[MEN]])</f>
        <v>0</v>
      </c>
    </row>
    <row r="119" spans="1:21" x14ac:dyDescent="0.35">
      <c r="A119" s="49"/>
      <c r="B119" s="51">
        <f t="shared" si="6"/>
        <v>0</v>
      </c>
      <c r="C119" s="52" t="str">
        <f t="shared" si="7"/>
        <v>Jan-1900</v>
      </c>
      <c r="D119" s="52" t="str">
        <f>IFERROR(INDEX(Sheet1!$A$2:$A$104,MATCH(SessionData[[#This Row],[Communities]],Sheet1!$B$2:$B$104,0)),"")</f>
        <v/>
      </c>
      <c r="U119" s="51">
        <f>SUM(SessionData[[#This Row],[MALE]:[MEN]])</f>
        <v>0</v>
      </c>
    </row>
    <row r="120" spans="1:21" x14ac:dyDescent="0.35">
      <c r="A120" s="49"/>
      <c r="B120" s="51">
        <f t="shared" si="6"/>
        <v>0</v>
      </c>
      <c r="C120" s="52" t="str">
        <f t="shared" si="7"/>
        <v>Jan-1900</v>
      </c>
      <c r="D120" s="52" t="str">
        <f>IFERROR(INDEX(Sheet1!$A$2:$A$104,MATCH(SessionData[[#This Row],[Communities]],Sheet1!$B$2:$B$104,0)),"")</f>
        <v/>
      </c>
      <c r="U120" s="51">
        <f>SUM(SessionData[[#This Row],[MALE]:[MEN]])</f>
        <v>0</v>
      </c>
    </row>
    <row r="121" spans="1:21" x14ac:dyDescent="0.35">
      <c r="A121" s="49"/>
      <c r="B121" s="51">
        <f t="shared" si="6"/>
        <v>0</v>
      </c>
      <c r="C121" s="52" t="str">
        <f t="shared" si="7"/>
        <v>Jan-1900</v>
      </c>
      <c r="D121" s="52" t="str">
        <f>IFERROR(INDEX(Sheet1!$A$2:$A$104,MATCH(SessionData[[#This Row],[Communities]],Sheet1!$B$2:$B$104,0)),"")</f>
        <v/>
      </c>
      <c r="U121" s="51">
        <f>SUM(SessionData[[#This Row],[MALE]:[MEN]])</f>
        <v>0</v>
      </c>
    </row>
    <row r="122" spans="1:21" x14ac:dyDescent="0.35">
      <c r="A122" s="49"/>
      <c r="B122" s="51">
        <f t="shared" si="6"/>
        <v>0</v>
      </c>
      <c r="C122" s="52" t="str">
        <f t="shared" si="7"/>
        <v>Jan-1900</v>
      </c>
      <c r="D122" s="52" t="str">
        <f>IFERROR(INDEX(Sheet1!$A$2:$A$104,MATCH(SessionData[[#This Row],[Communities]],Sheet1!$B$2:$B$104,0)),"")</f>
        <v/>
      </c>
      <c r="U122" s="51">
        <f>SUM(SessionData[[#This Row],[MALE]:[MEN]])</f>
        <v>0</v>
      </c>
    </row>
    <row r="123" spans="1:21" x14ac:dyDescent="0.35">
      <c r="A123" s="49"/>
      <c r="B123" s="51">
        <f t="shared" si="6"/>
        <v>0</v>
      </c>
      <c r="C123" s="52" t="str">
        <f t="shared" si="7"/>
        <v>Jan-1900</v>
      </c>
      <c r="D123" s="52" t="str">
        <f>IFERROR(INDEX(Sheet1!$A$2:$A$104,MATCH(SessionData[[#This Row],[Communities]],Sheet1!$B$2:$B$104,0)),"")</f>
        <v/>
      </c>
      <c r="U123" s="51">
        <f>SUM(SessionData[[#This Row],[MALE]:[MEN]])</f>
        <v>0</v>
      </c>
    </row>
    <row r="124" spans="1:21" x14ac:dyDescent="0.35">
      <c r="A124" s="49"/>
      <c r="B124" s="51">
        <f t="shared" si="6"/>
        <v>0</v>
      </c>
      <c r="C124" s="52" t="str">
        <f t="shared" si="7"/>
        <v>Jan-1900</v>
      </c>
      <c r="D124" s="52" t="str">
        <f>IFERROR(INDEX(Sheet1!$A$2:$A$104,MATCH(SessionData[[#This Row],[Communities]],Sheet1!$B$2:$B$104,0)),"")</f>
        <v/>
      </c>
      <c r="U124" s="51">
        <f>SUM(SessionData[[#This Row],[MALE]:[MEN]])</f>
        <v>0</v>
      </c>
    </row>
    <row r="125" spans="1:21" x14ac:dyDescent="0.35">
      <c r="A125" s="49"/>
      <c r="B125" s="51">
        <f t="shared" si="6"/>
        <v>0</v>
      </c>
      <c r="C125" s="52" t="str">
        <f t="shared" si="7"/>
        <v>Jan-1900</v>
      </c>
      <c r="D125" s="52" t="str">
        <f>IFERROR(INDEX(Sheet1!$A$2:$A$104,MATCH(SessionData[[#This Row],[Communities]],Sheet1!$B$2:$B$104,0)),"")</f>
        <v/>
      </c>
      <c r="U125" s="51">
        <f>SUM(SessionData[[#This Row],[MALE]:[MEN]])</f>
        <v>0</v>
      </c>
    </row>
    <row r="126" spans="1:21" x14ac:dyDescent="0.35">
      <c r="A126" s="49"/>
      <c r="B126" s="51">
        <f t="shared" si="6"/>
        <v>0</v>
      </c>
      <c r="C126" s="52" t="str">
        <f t="shared" si="7"/>
        <v>Jan-1900</v>
      </c>
      <c r="D126" s="52" t="str">
        <f>IFERROR(INDEX(Sheet1!$A$2:$A$104,MATCH(SessionData[[#This Row],[Communities]],Sheet1!$B$2:$B$104,0)),"")</f>
        <v/>
      </c>
      <c r="U126" s="51">
        <f>SUM(SessionData[[#This Row],[MALE]:[MEN]])</f>
        <v>0</v>
      </c>
    </row>
    <row r="127" spans="1:21" x14ac:dyDescent="0.35">
      <c r="A127" s="49"/>
      <c r="B127" s="51">
        <f t="shared" si="6"/>
        <v>0</v>
      </c>
      <c r="C127" s="52" t="str">
        <f t="shared" si="7"/>
        <v>Jan-1900</v>
      </c>
      <c r="D127" s="52" t="str">
        <f>IFERROR(INDEX(Sheet1!$A$2:$A$104,MATCH(SessionData[[#This Row],[Communities]],Sheet1!$B$2:$B$104,0)),"")</f>
        <v/>
      </c>
      <c r="U127" s="51">
        <f>SUM(SessionData[[#This Row],[MALE]:[MEN]])</f>
        <v>0</v>
      </c>
    </row>
    <row r="128" spans="1:21" x14ac:dyDescent="0.35">
      <c r="A128" s="49"/>
      <c r="B128" s="51">
        <f t="shared" si="6"/>
        <v>0</v>
      </c>
      <c r="C128" s="52" t="str">
        <f t="shared" si="7"/>
        <v>Jan-1900</v>
      </c>
      <c r="D128" s="52" t="str">
        <f>IFERROR(INDEX(Sheet1!$A$2:$A$104,MATCH(SessionData[[#This Row],[Communities]],Sheet1!$B$2:$B$104,0)),"")</f>
        <v/>
      </c>
      <c r="U128" s="51">
        <f>SUM(SessionData[[#This Row],[MALE]:[MEN]])</f>
        <v>0</v>
      </c>
    </row>
    <row r="129" spans="1:21" x14ac:dyDescent="0.35">
      <c r="A129" s="49"/>
      <c r="B129" s="51">
        <f t="shared" si="6"/>
        <v>0</v>
      </c>
      <c r="C129" s="52" t="str">
        <f t="shared" si="7"/>
        <v>Jan-1900</v>
      </c>
      <c r="D129" s="52" t="str">
        <f>IFERROR(INDEX(Sheet1!$A$2:$A$104,MATCH(SessionData[[#This Row],[Communities]],Sheet1!$B$2:$B$104,0)),"")</f>
        <v/>
      </c>
      <c r="U129" s="51">
        <f>SUM(SessionData[[#This Row],[MALE]:[MEN]])</f>
        <v>0</v>
      </c>
    </row>
    <row r="130" spans="1:21" x14ac:dyDescent="0.35">
      <c r="A130" s="49"/>
      <c r="B130" s="51">
        <f t="shared" si="6"/>
        <v>0</v>
      </c>
      <c r="C130" s="52" t="str">
        <f t="shared" si="7"/>
        <v>Jan-1900</v>
      </c>
      <c r="D130" s="52" t="str">
        <f>IFERROR(INDEX(Sheet1!$A$2:$A$104,MATCH(SessionData[[#This Row],[Communities]],Sheet1!$B$2:$B$104,0)),"")</f>
        <v/>
      </c>
      <c r="U130" s="51">
        <f>SUM(SessionData[[#This Row],[MALE]:[MEN]])</f>
        <v>0</v>
      </c>
    </row>
    <row r="131" spans="1:21" x14ac:dyDescent="0.35">
      <c r="A131" s="49"/>
      <c r="B131" s="51">
        <f t="shared" ref="B131:B162" si="8">WEEKNUM(A131)</f>
        <v>0</v>
      </c>
      <c r="C131" s="52" t="str">
        <f t="shared" ref="C131:C162" si="9">TEXT(A131,"mmm-yyyy")</f>
        <v>Jan-1900</v>
      </c>
      <c r="D131" s="52" t="str">
        <f>IFERROR(INDEX(Sheet1!$A$2:$A$104,MATCH(SessionData[[#This Row],[Communities]],Sheet1!$B$2:$B$104,0)),"")</f>
        <v/>
      </c>
      <c r="U131" s="51">
        <f>SUM(SessionData[[#This Row],[MALE]:[MEN]])</f>
        <v>0</v>
      </c>
    </row>
    <row r="132" spans="1:21" x14ac:dyDescent="0.35">
      <c r="A132" s="49"/>
      <c r="B132" s="51">
        <f t="shared" si="8"/>
        <v>0</v>
      </c>
      <c r="C132" s="52" t="str">
        <f t="shared" si="9"/>
        <v>Jan-1900</v>
      </c>
      <c r="D132" s="52" t="str">
        <f>IFERROR(INDEX(Sheet1!$A$2:$A$104,MATCH(SessionData[[#This Row],[Communities]],Sheet1!$B$2:$B$104,0)),"")</f>
        <v/>
      </c>
      <c r="U132" s="51">
        <f>SUM(SessionData[[#This Row],[MALE]:[MEN]])</f>
        <v>0</v>
      </c>
    </row>
    <row r="133" spans="1:21" x14ac:dyDescent="0.35">
      <c r="A133" s="49"/>
      <c r="B133" s="51">
        <f t="shared" si="8"/>
        <v>0</v>
      </c>
      <c r="C133" s="52" t="str">
        <f t="shared" si="9"/>
        <v>Jan-1900</v>
      </c>
      <c r="D133" s="52" t="str">
        <f>IFERROR(INDEX(Sheet1!$A$2:$A$104,MATCH(SessionData[[#This Row],[Communities]],Sheet1!$B$2:$B$104,0)),"")</f>
        <v/>
      </c>
      <c r="U133" s="51">
        <f>SUM(SessionData[[#This Row],[MALE]:[MEN]])</f>
        <v>0</v>
      </c>
    </row>
    <row r="134" spans="1:21" x14ac:dyDescent="0.35">
      <c r="A134" s="49"/>
      <c r="B134" s="51">
        <f t="shared" si="8"/>
        <v>0</v>
      </c>
      <c r="C134" s="52" t="str">
        <f t="shared" si="9"/>
        <v>Jan-1900</v>
      </c>
      <c r="D134" s="52" t="str">
        <f>IFERROR(INDEX(Sheet1!$A$2:$A$104,MATCH(SessionData[[#This Row],[Communities]],Sheet1!$B$2:$B$104,0)),"")</f>
        <v/>
      </c>
      <c r="U134" s="51">
        <f>SUM(SessionData[[#This Row],[MALE]:[MEN]])</f>
        <v>0</v>
      </c>
    </row>
    <row r="135" spans="1:21" x14ac:dyDescent="0.35">
      <c r="A135" s="49"/>
      <c r="B135" s="51">
        <f t="shared" si="8"/>
        <v>0</v>
      </c>
      <c r="C135" s="52" t="str">
        <f t="shared" si="9"/>
        <v>Jan-1900</v>
      </c>
      <c r="D135" s="52" t="str">
        <f>IFERROR(INDEX(Sheet1!$A$2:$A$104,MATCH(SessionData[[#This Row],[Communities]],Sheet1!$B$2:$B$104,0)),"")</f>
        <v/>
      </c>
      <c r="U135" s="51">
        <f>SUM(SessionData[[#This Row],[MALE]:[MEN]])</f>
        <v>0</v>
      </c>
    </row>
    <row r="136" spans="1:21" x14ac:dyDescent="0.35">
      <c r="A136" s="49"/>
      <c r="B136" s="51">
        <f t="shared" si="8"/>
        <v>0</v>
      </c>
      <c r="C136" s="52" t="str">
        <f t="shared" si="9"/>
        <v>Jan-1900</v>
      </c>
      <c r="D136" s="52" t="str">
        <f>IFERROR(INDEX(Sheet1!$A$2:$A$104,MATCH(SessionData[[#This Row],[Communities]],Sheet1!$B$2:$B$104,0)),"")</f>
        <v/>
      </c>
      <c r="U136" s="51">
        <f>SUM(SessionData[[#This Row],[MALE]:[MEN]])</f>
        <v>0</v>
      </c>
    </row>
    <row r="137" spans="1:21" x14ac:dyDescent="0.35">
      <c r="A137" s="49"/>
      <c r="B137" s="51">
        <f t="shared" si="8"/>
        <v>0</v>
      </c>
      <c r="C137" s="52" t="str">
        <f t="shared" si="9"/>
        <v>Jan-1900</v>
      </c>
      <c r="D137" s="52" t="str">
        <f>IFERROR(INDEX(Sheet1!$A$2:$A$104,MATCH(SessionData[[#This Row],[Communities]],Sheet1!$B$2:$B$104,0)),"")</f>
        <v/>
      </c>
      <c r="U137" s="51">
        <f>SUM(SessionData[[#This Row],[MALE]:[MEN]])</f>
        <v>0</v>
      </c>
    </row>
    <row r="138" spans="1:21" x14ac:dyDescent="0.35">
      <c r="A138" s="49"/>
      <c r="B138" s="51">
        <f t="shared" si="8"/>
        <v>0</v>
      </c>
      <c r="C138" s="52" t="str">
        <f t="shared" si="9"/>
        <v>Jan-1900</v>
      </c>
      <c r="D138" s="52" t="str">
        <f>IFERROR(INDEX(Sheet1!$A$2:$A$104,MATCH(SessionData[[#This Row],[Communities]],Sheet1!$B$2:$B$104,0)),"")</f>
        <v/>
      </c>
      <c r="U138" s="51">
        <f>SUM(SessionData[[#This Row],[MALE]:[MEN]])</f>
        <v>0</v>
      </c>
    </row>
    <row r="139" spans="1:21" x14ac:dyDescent="0.35">
      <c r="A139" s="49"/>
      <c r="B139" s="51">
        <f t="shared" si="8"/>
        <v>0</v>
      </c>
      <c r="C139" s="52" t="str">
        <f t="shared" si="9"/>
        <v>Jan-1900</v>
      </c>
      <c r="D139" s="52" t="str">
        <f>IFERROR(INDEX(Sheet1!$A$2:$A$104,MATCH(SessionData[[#This Row],[Communities]],Sheet1!$B$2:$B$104,0)),"")</f>
        <v/>
      </c>
      <c r="U139" s="51">
        <f>SUM(SessionData[[#This Row],[MALE]:[MEN]])</f>
        <v>0</v>
      </c>
    </row>
    <row r="140" spans="1:21" x14ac:dyDescent="0.35">
      <c r="A140" s="49"/>
      <c r="B140" s="51">
        <f t="shared" si="8"/>
        <v>0</v>
      </c>
      <c r="C140" s="52" t="str">
        <f t="shared" si="9"/>
        <v>Jan-1900</v>
      </c>
      <c r="D140" s="52" t="str">
        <f>IFERROR(INDEX(Sheet1!$A$2:$A$104,MATCH(SessionData[[#This Row],[Communities]],Sheet1!$B$2:$B$104,0)),"")</f>
        <v/>
      </c>
      <c r="U140" s="51">
        <f>SUM(SessionData[[#This Row],[MALE]:[MEN]])</f>
        <v>0</v>
      </c>
    </row>
    <row r="141" spans="1:21" x14ac:dyDescent="0.35">
      <c r="A141" s="49"/>
      <c r="B141" s="51">
        <f t="shared" si="8"/>
        <v>0</v>
      </c>
      <c r="C141" s="52" t="str">
        <f t="shared" si="9"/>
        <v>Jan-1900</v>
      </c>
      <c r="D141" s="52" t="str">
        <f>IFERROR(INDEX(Sheet1!$A$2:$A$104,MATCH(SessionData[[#This Row],[Communities]],Sheet1!$B$2:$B$104,0)),"")</f>
        <v/>
      </c>
      <c r="U141" s="51">
        <f>SUM(SessionData[[#This Row],[MALE]:[MEN]])</f>
        <v>0</v>
      </c>
    </row>
    <row r="142" spans="1:21" x14ac:dyDescent="0.35">
      <c r="A142" s="49"/>
      <c r="B142" s="51">
        <f t="shared" si="8"/>
        <v>0</v>
      </c>
      <c r="C142" s="52" t="str">
        <f t="shared" si="9"/>
        <v>Jan-1900</v>
      </c>
      <c r="D142" s="52" t="str">
        <f>IFERROR(INDEX(Sheet1!$A$2:$A$104,MATCH(SessionData[[#This Row],[Communities]],Sheet1!$B$2:$B$104,0)),"")</f>
        <v/>
      </c>
      <c r="U142" s="51">
        <f>SUM(SessionData[[#This Row],[MALE]:[MEN]])</f>
        <v>0</v>
      </c>
    </row>
    <row r="143" spans="1:21" x14ac:dyDescent="0.35">
      <c r="A143" s="49"/>
      <c r="B143" s="51">
        <f t="shared" si="8"/>
        <v>0</v>
      </c>
      <c r="C143" s="52" t="str">
        <f t="shared" si="9"/>
        <v>Jan-1900</v>
      </c>
      <c r="D143" s="52" t="str">
        <f>IFERROR(INDEX(Sheet1!$A$2:$A$104,MATCH(SessionData[[#This Row],[Communities]],Sheet1!$B$2:$B$104,0)),"")</f>
        <v/>
      </c>
      <c r="U143" s="51">
        <f>SUM(SessionData[[#This Row],[MALE]:[MEN]])</f>
        <v>0</v>
      </c>
    </row>
    <row r="144" spans="1:21" x14ac:dyDescent="0.35">
      <c r="A144" s="49"/>
      <c r="B144" s="51">
        <f t="shared" si="8"/>
        <v>0</v>
      </c>
      <c r="C144" s="52" t="str">
        <f t="shared" si="9"/>
        <v>Jan-1900</v>
      </c>
      <c r="D144" s="52" t="str">
        <f>IFERROR(INDEX(Sheet1!$A$2:$A$104,MATCH(SessionData[[#This Row],[Communities]],Sheet1!$B$2:$B$104,0)),"")</f>
        <v/>
      </c>
      <c r="U144" s="51">
        <f>SUM(SessionData[[#This Row],[MALE]:[MEN]])</f>
        <v>0</v>
      </c>
    </row>
    <row r="145" spans="1:21" x14ac:dyDescent="0.35">
      <c r="A145" s="49"/>
      <c r="B145" s="51">
        <f t="shared" si="8"/>
        <v>0</v>
      </c>
      <c r="C145" s="52" t="str">
        <f t="shared" si="9"/>
        <v>Jan-1900</v>
      </c>
      <c r="D145" s="52" t="str">
        <f>IFERROR(INDEX(Sheet1!$A$2:$A$104,MATCH(SessionData[[#This Row],[Communities]],Sheet1!$B$2:$B$104,0)),"")</f>
        <v/>
      </c>
      <c r="U145" s="51">
        <f>SUM(SessionData[[#This Row],[MALE]:[MEN]])</f>
        <v>0</v>
      </c>
    </row>
    <row r="146" spans="1:21" x14ac:dyDescent="0.35">
      <c r="A146" s="49"/>
      <c r="B146" s="51">
        <f t="shared" si="8"/>
        <v>0</v>
      </c>
      <c r="C146" s="52" t="str">
        <f t="shared" si="9"/>
        <v>Jan-1900</v>
      </c>
      <c r="D146" s="52" t="str">
        <f>IFERROR(INDEX(Sheet1!$A$2:$A$104,MATCH(SessionData[[#This Row],[Communities]],Sheet1!$B$2:$B$104,0)),"")</f>
        <v/>
      </c>
      <c r="U146" s="51">
        <f>SUM(SessionData[[#This Row],[MALE]:[MEN]])</f>
        <v>0</v>
      </c>
    </row>
    <row r="147" spans="1:21" x14ac:dyDescent="0.35">
      <c r="A147" s="49"/>
      <c r="B147" s="51">
        <f t="shared" si="8"/>
        <v>0</v>
      </c>
      <c r="C147" s="52" t="str">
        <f t="shared" si="9"/>
        <v>Jan-1900</v>
      </c>
      <c r="D147" s="52" t="str">
        <f>IFERROR(INDEX(Sheet1!$A$2:$A$104,MATCH(SessionData[[#This Row],[Communities]],Sheet1!$B$2:$B$104,0)),"")</f>
        <v/>
      </c>
      <c r="U147" s="51">
        <f>SUM(SessionData[[#This Row],[MALE]:[MEN]])</f>
        <v>0</v>
      </c>
    </row>
    <row r="148" spans="1:21" x14ac:dyDescent="0.35">
      <c r="A148" s="49"/>
      <c r="B148" s="51">
        <f t="shared" si="8"/>
        <v>0</v>
      </c>
      <c r="C148" s="52" t="str">
        <f t="shared" si="9"/>
        <v>Jan-1900</v>
      </c>
      <c r="D148" s="52" t="str">
        <f>IFERROR(INDEX(Sheet1!$A$2:$A$104,MATCH(SessionData[[#This Row],[Communities]],Sheet1!$B$2:$B$104,0)),"")</f>
        <v/>
      </c>
      <c r="U148" s="51">
        <f>SUM(SessionData[[#This Row],[MALE]:[MEN]])</f>
        <v>0</v>
      </c>
    </row>
    <row r="149" spans="1:21" x14ac:dyDescent="0.35">
      <c r="A149" s="49"/>
      <c r="B149" s="51">
        <f t="shared" si="8"/>
        <v>0</v>
      </c>
      <c r="C149" s="52" t="str">
        <f t="shared" si="9"/>
        <v>Jan-1900</v>
      </c>
      <c r="D149" s="52" t="str">
        <f>IFERROR(INDEX(Sheet1!$A$2:$A$104,MATCH(SessionData[[#This Row],[Communities]],Sheet1!$B$2:$B$104,0)),"")</f>
        <v/>
      </c>
      <c r="U149" s="51">
        <f>SUM(SessionData[[#This Row],[MALE]:[MEN]])</f>
        <v>0</v>
      </c>
    </row>
    <row r="150" spans="1:21" x14ac:dyDescent="0.35">
      <c r="A150" s="49"/>
      <c r="B150" s="51">
        <f t="shared" si="8"/>
        <v>0</v>
      </c>
      <c r="C150" s="52" t="str">
        <f t="shared" si="9"/>
        <v>Jan-1900</v>
      </c>
      <c r="D150" s="52" t="str">
        <f>IFERROR(INDEX(Sheet1!$A$2:$A$104,MATCH(SessionData[[#This Row],[Communities]],Sheet1!$B$2:$B$104,0)),"")</f>
        <v/>
      </c>
      <c r="U150" s="51">
        <f>SUM(SessionData[[#This Row],[MALE]:[MEN]])</f>
        <v>0</v>
      </c>
    </row>
    <row r="151" spans="1:21" x14ac:dyDescent="0.35">
      <c r="A151" s="49"/>
      <c r="B151" s="51">
        <f t="shared" si="8"/>
        <v>0</v>
      </c>
      <c r="C151" s="52" t="str">
        <f t="shared" si="9"/>
        <v>Jan-1900</v>
      </c>
      <c r="D151" s="52" t="str">
        <f>IFERROR(INDEX(Sheet1!$A$2:$A$104,MATCH(SessionData[[#This Row],[Communities]],Sheet1!$B$2:$B$104,0)),"")</f>
        <v/>
      </c>
      <c r="U151" s="51">
        <f>SUM(SessionData[[#This Row],[MALE]:[MEN]])</f>
        <v>0</v>
      </c>
    </row>
    <row r="152" spans="1:21" x14ac:dyDescent="0.35">
      <c r="A152" s="49"/>
      <c r="B152" s="51">
        <f t="shared" si="8"/>
        <v>0</v>
      </c>
      <c r="C152" s="52" t="str">
        <f t="shared" si="9"/>
        <v>Jan-1900</v>
      </c>
      <c r="D152" s="52" t="str">
        <f>IFERROR(INDEX(Sheet1!$A$2:$A$104,MATCH(SessionData[[#This Row],[Communities]],Sheet1!$B$2:$B$104,0)),"")</f>
        <v/>
      </c>
      <c r="U152" s="51">
        <f>SUM(SessionData[[#This Row],[MALE]:[MEN]])</f>
        <v>0</v>
      </c>
    </row>
    <row r="153" spans="1:21" x14ac:dyDescent="0.35">
      <c r="A153" s="49"/>
      <c r="B153" s="51">
        <f t="shared" si="8"/>
        <v>0</v>
      </c>
      <c r="C153" s="52" t="str">
        <f t="shared" si="9"/>
        <v>Jan-1900</v>
      </c>
      <c r="D153" s="52" t="str">
        <f>IFERROR(INDEX(Sheet1!$A$2:$A$104,MATCH(SessionData[[#This Row],[Communities]],Sheet1!$B$2:$B$104,0)),"")</f>
        <v/>
      </c>
      <c r="U153" s="51">
        <f>SUM(SessionData[[#This Row],[MALE]:[MEN]])</f>
        <v>0</v>
      </c>
    </row>
    <row r="154" spans="1:21" x14ac:dyDescent="0.35">
      <c r="A154" s="49"/>
      <c r="B154" s="51">
        <f t="shared" si="8"/>
        <v>0</v>
      </c>
      <c r="C154" s="52" t="str">
        <f t="shared" si="9"/>
        <v>Jan-1900</v>
      </c>
      <c r="D154" s="52" t="str">
        <f>IFERROR(INDEX(Sheet1!$A$2:$A$104,MATCH(SessionData[[#This Row],[Communities]],Sheet1!$B$2:$B$104,0)),"")</f>
        <v/>
      </c>
      <c r="U154" s="51">
        <f>SUM(SessionData[[#This Row],[MALE]:[MEN]])</f>
        <v>0</v>
      </c>
    </row>
    <row r="155" spans="1:21" x14ac:dyDescent="0.35">
      <c r="A155" s="49"/>
      <c r="B155" s="51">
        <f t="shared" si="8"/>
        <v>0</v>
      </c>
      <c r="C155" s="52" t="str">
        <f t="shared" si="9"/>
        <v>Jan-1900</v>
      </c>
      <c r="D155" s="52" t="str">
        <f>IFERROR(INDEX(Sheet1!$A$2:$A$104,MATCH(SessionData[[#This Row],[Communities]],Sheet1!$B$2:$B$104,0)),"")</f>
        <v/>
      </c>
      <c r="U155" s="51">
        <f>SUM(SessionData[[#This Row],[MALE]:[MEN]])</f>
        <v>0</v>
      </c>
    </row>
    <row r="156" spans="1:21" x14ac:dyDescent="0.35">
      <c r="A156" s="49"/>
      <c r="B156" s="51">
        <f t="shared" si="8"/>
        <v>0</v>
      </c>
      <c r="C156" s="52" t="str">
        <f t="shared" si="9"/>
        <v>Jan-1900</v>
      </c>
      <c r="D156" s="52" t="str">
        <f>IFERROR(INDEX(Sheet1!$A$2:$A$104,MATCH(SessionData[[#This Row],[Communities]],Sheet1!$B$2:$B$104,0)),"")</f>
        <v/>
      </c>
      <c r="U156" s="51">
        <f>SUM(SessionData[[#This Row],[MALE]:[MEN]])</f>
        <v>0</v>
      </c>
    </row>
    <row r="157" spans="1:21" x14ac:dyDescent="0.35">
      <c r="A157" s="49"/>
      <c r="B157" s="51">
        <f t="shared" si="8"/>
        <v>0</v>
      </c>
      <c r="C157" s="52" t="str">
        <f t="shared" si="9"/>
        <v>Jan-1900</v>
      </c>
      <c r="D157" s="52" t="str">
        <f>IFERROR(INDEX(Sheet1!$A$2:$A$104,MATCH(SessionData[[#This Row],[Communities]],Sheet1!$B$2:$B$104,0)),"")</f>
        <v/>
      </c>
      <c r="U157" s="51">
        <f>SUM(SessionData[[#This Row],[MALE]:[MEN]])</f>
        <v>0</v>
      </c>
    </row>
    <row r="158" spans="1:21" x14ac:dyDescent="0.35">
      <c r="A158" s="49"/>
      <c r="B158" s="51">
        <f t="shared" si="8"/>
        <v>0</v>
      </c>
      <c r="C158" s="52" t="str">
        <f t="shared" si="9"/>
        <v>Jan-1900</v>
      </c>
      <c r="D158" s="52" t="str">
        <f>IFERROR(INDEX(Sheet1!$A$2:$A$104,MATCH(SessionData[[#This Row],[Communities]],Sheet1!$B$2:$B$104,0)),"")</f>
        <v/>
      </c>
      <c r="U158" s="51">
        <f>SUM(SessionData[[#This Row],[MALE]:[MEN]])</f>
        <v>0</v>
      </c>
    </row>
    <row r="159" spans="1:21" x14ac:dyDescent="0.35">
      <c r="A159" s="49"/>
      <c r="B159" s="51">
        <f t="shared" si="8"/>
        <v>0</v>
      </c>
      <c r="C159" s="52" t="str">
        <f t="shared" si="9"/>
        <v>Jan-1900</v>
      </c>
      <c r="D159" s="52" t="str">
        <f>IFERROR(INDEX(Sheet1!$A$2:$A$104,MATCH(SessionData[[#This Row],[Communities]],Sheet1!$B$2:$B$104,0)),"")</f>
        <v/>
      </c>
      <c r="U159" s="51">
        <f>SUM(SessionData[[#This Row],[MALE]:[MEN]])</f>
        <v>0</v>
      </c>
    </row>
    <row r="160" spans="1:21" x14ac:dyDescent="0.35">
      <c r="A160" s="49"/>
      <c r="B160" s="51">
        <f t="shared" si="8"/>
        <v>0</v>
      </c>
      <c r="C160" s="52" t="str">
        <f t="shared" si="9"/>
        <v>Jan-1900</v>
      </c>
      <c r="D160" s="52" t="str">
        <f>IFERROR(INDEX(Sheet1!$A$2:$A$104,MATCH(SessionData[[#This Row],[Communities]],Sheet1!$B$2:$B$104,0)),"")</f>
        <v/>
      </c>
      <c r="U160" s="51">
        <f>SUM(SessionData[[#This Row],[MALE]:[MEN]])</f>
        <v>0</v>
      </c>
    </row>
    <row r="161" spans="1:21" x14ac:dyDescent="0.35">
      <c r="A161" s="49"/>
      <c r="B161" s="51">
        <f t="shared" si="8"/>
        <v>0</v>
      </c>
      <c r="C161" s="52" t="str">
        <f t="shared" si="9"/>
        <v>Jan-1900</v>
      </c>
      <c r="D161" s="52" t="str">
        <f>IFERROR(INDEX(Sheet1!$A$2:$A$104,MATCH(SessionData[[#This Row],[Communities]],Sheet1!$B$2:$B$104,0)),"")</f>
        <v/>
      </c>
      <c r="U161" s="51">
        <f>SUM(SessionData[[#This Row],[MALE]:[MEN]])</f>
        <v>0</v>
      </c>
    </row>
    <row r="162" spans="1:21" x14ac:dyDescent="0.35">
      <c r="A162" s="49"/>
      <c r="B162" s="51">
        <f t="shared" si="8"/>
        <v>0</v>
      </c>
      <c r="C162" s="52" t="str">
        <f t="shared" si="9"/>
        <v>Jan-1900</v>
      </c>
      <c r="D162" s="52" t="str">
        <f>IFERROR(INDEX(Sheet1!$A$2:$A$104,MATCH(SessionData[[#This Row],[Communities]],Sheet1!$B$2:$B$104,0)),"")</f>
        <v/>
      </c>
      <c r="U162" s="51">
        <f>SUM(SessionData[[#This Row],[MALE]:[MEN]])</f>
        <v>0</v>
      </c>
    </row>
    <row r="163" spans="1:21" x14ac:dyDescent="0.35">
      <c r="A163" s="49"/>
      <c r="B163" s="51">
        <f t="shared" ref="B163:B194" si="10">WEEKNUM(A163)</f>
        <v>0</v>
      </c>
      <c r="C163" s="52" t="str">
        <f t="shared" ref="C163:C194" si="11">TEXT(A163,"mmm-yyyy")</f>
        <v>Jan-1900</v>
      </c>
      <c r="D163" s="52" t="str">
        <f>IFERROR(INDEX(Sheet1!$A$2:$A$104,MATCH(SessionData[[#This Row],[Communities]],Sheet1!$B$2:$B$104,0)),"")</f>
        <v/>
      </c>
      <c r="U163" s="51">
        <f>SUM(SessionData[[#This Row],[MALE]:[MEN]])</f>
        <v>0</v>
      </c>
    </row>
    <row r="164" spans="1:21" x14ac:dyDescent="0.35">
      <c r="A164" s="49"/>
      <c r="B164" s="51">
        <f t="shared" si="10"/>
        <v>0</v>
      </c>
      <c r="C164" s="52" t="str">
        <f t="shared" si="11"/>
        <v>Jan-1900</v>
      </c>
      <c r="D164" s="52" t="str">
        <f>IFERROR(INDEX(Sheet1!$A$2:$A$104,MATCH(SessionData[[#This Row],[Communities]],Sheet1!$B$2:$B$104,0)),"")</f>
        <v/>
      </c>
      <c r="U164" s="51">
        <f>SUM(SessionData[[#This Row],[MALE]:[MEN]])</f>
        <v>0</v>
      </c>
    </row>
    <row r="165" spans="1:21" x14ac:dyDescent="0.35">
      <c r="A165" s="49"/>
      <c r="B165" s="51">
        <f t="shared" si="10"/>
        <v>0</v>
      </c>
      <c r="C165" s="52" t="str">
        <f t="shared" si="11"/>
        <v>Jan-1900</v>
      </c>
      <c r="D165" s="52" t="str">
        <f>IFERROR(INDEX(Sheet1!$A$2:$A$104,MATCH(SessionData[[#This Row],[Communities]],Sheet1!$B$2:$B$104,0)),"")</f>
        <v/>
      </c>
      <c r="U165" s="51">
        <f>SUM(SessionData[[#This Row],[MALE]:[MEN]])</f>
        <v>0</v>
      </c>
    </row>
    <row r="166" spans="1:21" x14ac:dyDescent="0.35">
      <c r="A166" s="49"/>
      <c r="B166" s="51">
        <f t="shared" si="10"/>
        <v>0</v>
      </c>
      <c r="C166" s="52" t="str">
        <f t="shared" si="11"/>
        <v>Jan-1900</v>
      </c>
      <c r="D166" s="52" t="str">
        <f>IFERROR(INDEX(Sheet1!$A$2:$A$104,MATCH(SessionData[[#This Row],[Communities]],Sheet1!$B$2:$B$104,0)),"")</f>
        <v/>
      </c>
      <c r="U166" s="51">
        <f>SUM(SessionData[[#This Row],[MALE]:[MEN]])</f>
        <v>0</v>
      </c>
    </row>
    <row r="167" spans="1:21" x14ac:dyDescent="0.35">
      <c r="A167" s="49"/>
      <c r="B167" s="51">
        <f t="shared" si="10"/>
        <v>0</v>
      </c>
      <c r="C167" s="52" t="str">
        <f t="shared" si="11"/>
        <v>Jan-1900</v>
      </c>
      <c r="D167" s="52" t="str">
        <f>IFERROR(INDEX(Sheet1!$A$2:$A$104,MATCH(SessionData[[#This Row],[Communities]],Sheet1!$B$2:$B$104,0)),"")</f>
        <v/>
      </c>
      <c r="U167" s="51">
        <f>SUM(SessionData[[#This Row],[MALE]:[MEN]])</f>
        <v>0</v>
      </c>
    </row>
    <row r="168" spans="1:21" x14ac:dyDescent="0.35">
      <c r="A168" s="49"/>
      <c r="B168" s="51">
        <f t="shared" si="10"/>
        <v>0</v>
      </c>
      <c r="C168" s="52" t="str">
        <f t="shared" si="11"/>
        <v>Jan-1900</v>
      </c>
      <c r="D168" s="52" t="str">
        <f>IFERROR(INDEX(Sheet1!$A$2:$A$104,MATCH(SessionData[[#This Row],[Communities]],Sheet1!$B$2:$B$104,0)),"")</f>
        <v/>
      </c>
      <c r="U168" s="51">
        <f>SUM(SessionData[[#This Row],[MALE]:[MEN]])</f>
        <v>0</v>
      </c>
    </row>
    <row r="169" spans="1:21" x14ac:dyDescent="0.35">
      <c r="A169" s="49"/>
      <c r="B169" s="51">
        <f t="shared" si="10"/>
        <v>0</v>
      </c>
      <c r="C169" s="52" t="str">
        <f t="shared" si="11"/>
        <v>Jan-1900</v>
      </c>
      <c r="D169" s="52" t="str">
        <f>IFERROR(INDEX(Sheet1!$A$2:$A$104,MATCH(SessionData[[#This Row],[Communities]],Sheet1!$B$2:$B$104,0)),"")</f>
        <v/>
      </c>
      <c r="U169" s="51">
        <f>SUM(SessionData[[#This Row],[MALE]:[MEN]])</f>
        <v>0</v>
      </c>
    </row>
    <row r="170" spans="1:21" x14ac:dyDescent="0.35">
      <c r="A170" s="49"/>
      <c r="B170" s="51">
        <f t="shared" si="10"/>
        <v>0</v>
      </c>
      <c r="C170" s="52" t="str">
        <f t="shared" si="11"/>
        <v>Jan-1900</v>
      </c>
      <c r="D170" s="52" t="str">
        <f>IFERROR(INDEX(Sheet1!$A$2:$A$104,MATCH(SessionData[[#This Row],[Communities]],Sheet1!$B$2:$B$104,0)),"")</f>
        <v/>
      </c>
      <c r="U170" s="51">
        <f>SUM(SessionData[[#This Row],[MALE]:[MEN]])</f>
        <v>0</v>
      </c>
    </row>
    <row r="171" spans="1:21" x14ac:dyDescent="0.35">
      <c r="A171" s="49"/>
      <c r="B171" s="51">
        <f t="shared" si="10"/>
        <v>0</v>
      </c>
      <c r="C171" s="52" t="str">
        <f t="shared" si="11"/>
        <v>Jan-1900</v>
      </c>
      <c r="D171" s="52" t="str">
        <f>IFERROR(INDEX(Sheet1!$A$2:$A$104,MATCH(SessionData[[#This Row],[Communities]],Sheet1!$B$2:$B$104,0)),"")</f>
        <v/>
      </c>
      <c r="U171" s="51">
        <f>SUM(SessionData[[#This Row],[MALE]:[MEN]])</f>
        <v>0</v>
      </c>
    </row>
    <row r="172" spans="1:21" x14ac:dyDescent="0.35">
      <c r="A172" s="49"/>
      <c r="B172" s="51">
        <f t="shared" si="10"/>
        <v>0</v>
      </c>
      <c r="C172" s="52" t="str">
        <f t="shared" si="11"/>
        <v>Jan-1900</v>
      </c>
      <c r="D172" s="52" t="str">
        <f>IFERROR(INDEX(Sheet1!$A$2:$A$104,MATCH(SessionData[[#This Row],[Communities]],Sheet1!$B$2:$B$104,0)),"")</f>
        <v/>
      </c>
      <c r="U172" s="51">
        <f>SUM(SessionData[[#This Row],[MALE]:[MEN]])</f>
        <v>0</v>
      </c>
    </row>
    <row r="173" spans="1:21" x14ac:dyDescent="0.35">
      <c r="A173" s="49"/>
      <c r="B173" s="51">
        <f t="shared" si="10"/>
        <v>0</v>
      </c>
      <c r="C173" s="52" t="str">
        <f t="shared" si="11"/>
        <v>Jan-1900</v>
      </c>
      <c r="D173" s="52" t="str">
        <f>IFERROR(INDEX(Sheet1!$A$2:$A$104,MATCH(SessionData[[#This Row],[Communities]],Sheet1!$B$2:$B$104,0)),"")</f>
        <v/>
      </c>
      <c r="U173" s="51">
        <f>SUM(SessionData[[#This Row],[MALE]:[MEN]])</f>
        <v>0</v>
      </c>
    </row>
    <row r="174" spans="1:21" x14ac:dyDescent="0.35">
      <c r="A174" s="49"/>
      <c r="B174" s="51">
        <f t="shared" si="10"/>
        <v>0</v>
      </c>
      <c r="C174" s="52" t="str">
        <f t="shared" si="11"/>
        <v>Jan-1900</v>
      </c>
      <c r="D174" s="52" t="str">
        <f>IFERROR(INDEX(Sheet1!$A$2:$A$104,MATCH(SessionData[[#This Row],[Communities]],Sheet1!$B$2:$B$104,0)),"")</f>
        <v/>
      </c>
      <c r="U174" s="51">
        <f>SUM(SessionData[[#This Row],[MALE]:[MEN]])</f>
        <v>0</v>
      </c>
    </row>
    <row r="175" spans="1:21" x14ac:dyDescent="0.35">
      <c r="A175" s="49"/>
      <c r="B175" s="51">
        <f t="shared" si="10"/>
        <v>0</v>
      </c>
      <c r="C175" s="52" t="str">
        <f t="shared" si="11"/>
        <v>Jan-1900</v>
      </c>
      <c r="D175" s="52" t="str">
        <f>IFERROR(INDEX(Sheet1!$A$2:$A$104,MATCH(SessionData[[#This Row],[Communities]],Sheet1!$B$2:$B$104,0)),"")</f>
        <v/>
      </c>
      <c r="U175" s="51">
        <f>SUM(SessionData[[#This Row],[MALE]:[MEN]])</f>
        <v>0</v>
      </c>
    </row>
    <row r="176" spans="1:21" x14ac:dyDescent="0.35">
      <c r="A176" s="49"/>
      <c r="B176" s="51">
        <f t="shared" si="10"/>
        <v>0</v>
      </c>
      <c r="C176" s="52" t="str">
        <f t="shared" si="11"/>
        <v>Jan-1900</v>
      </c>
      <c r="D176" s="52" t="str">
        <f>IFERROR(INDEX(Sheet1!$A$2:$A$104,MATCH(SessionData[[#This Row],[Communities]],Sheet1!$B$2:$B$104,0)),"")</f>
        <v/>
      </c>
      <c r="U176" s="51">
        <f>SUM(SessionData[[#This Row],[MALE]:[MEN]])</f>
        <v>0</v>
      </c>
    </row>
    <row r="177" spans="1:21" x14ac:dyDescent="0.35">
      <c r="A177" s="49"/>
      <c r="B177" s="51">
        <f t="shared" si="10"/>
        <v>0</v>
      </c>
      <c r="C177" s="52" t="str">
        <f t="shared" si="11"/>
        <v>Jan-1900</v>
      </c>
      <c r="D177" s="52" t="str">
        <f>IFERROR(INDEX(Sheet1!$A$2:$A$104,MATCH(SessionData[[#This Row],[Communities]],Sheet1!$B$2:$B$104,0)),"")</f>
        <v/>
      </c>
      <c r="U177" s="51">
        <f>SUM(SessionData[[#This Row],[MALE]:[MEN]])</f>
        <v>0</v>
      </c>
    </row>
    <row r="178" spans="1:21" x14ac:dyDescent="0.35">
      <c r="A178" s="49"/>
      <c r="B178" s="51">
        <f t="shared" si="10"/>
        <v>0</v>
      </c>
      <c r="C178" s="52" t="str">
        <f t="shared" si="11"/>
        <v>Jan-1900</v>
      </c>
      <c r="D178" s="52" t="str">
        <f>IFERROR(INDEX(Sheet1!$A$2:$A$104,MATCH(SessionData[[#This Row],[Communities]],Sheet1!$B$2:$B$104,0)),"")</f>
        <v/>
      </c>
      <c r="U178" s="51">
        <f>SUM(SessionData[[#This Row],[MALE]:[MEN]])</f>
        <v>0</v>
      </c>
    </row>
    <row r="179" spans="1:21" x14ac:dyDescent="0.35">
      <c r="A179" s="49"/>
      <c r="B179" s="51">
        <f t="shared" si="10"/>
        <v>0</v>
      </c>
      <c r="C179" s="52" t="str">
        <f t="shared" si="11"/>
        <v>Jan-1900</v>
      </c>
      <c r="D179" s="52" t="str">
        <f>IFERROR(INDEX(Sheet1!$A$2:$A$104,MATCH(SessionData[[#This Row],[Communities]],Sheet1!$B$2:$B$104,0)),"")</f>
        <v/>
      </c>
      <c r="U179" s="51">
        <f>SUM(SessionData[[#This Row],[MALE]:[MEN]])</f>
        <v>0</v>
      </c>
    </row>
    <row r="180" spans="1:21" x14ac:dyDescent="0.35">
      <c r="A180" s="49"/>
      <c r="B180" s="51">
        <f t="shared" si="10"/>
        <v>0</v>
      </c>
      <c r="C180" s="52" t="str">
        <f t="shared" si="11"/>
        <v>Jan-1900</v>
      </c>
      <c r="D180" s="52" t="str">
        <f>IFERROR(INDEX(Sheet1!$A$2:$A$104,MATCH(SessionData[[#This Row],[Communities]],Sheet1!$B$2:$B$104,0)),"")</f>
        <v/>
      </c>
      <c r="U180" s="51">
        <f>SUM(SessionData[[#This Row],[MALE]:[MEN]])</f>
        <v>0</v>
      </c>
    </row>
    <row r="181" spans="1:21" x14ac:dyDescent="0.35">
      <c r="A181" s="49"/>
      <c r="B181" s="51">
        <f t="shared" si="10"/>
        <v>0</v>
      </c>
      <c r="C181" s="52" t="str">
        <f t="shared" si="11"/>
        <v>Jan-1900</v>
      </c>
      <c r="D181" s="52" t="str">
        <f>IFERROR(INDEX(Sheet1!$A$2:$A$104,MATCH(SessionData[[#This Row],[Communities]],Sheet1!$B$2:$B$104,0)),"")</f>
        <v/>
      </c>
      <c r="U181" s="51">
        <f>SUM(SessionData[[#This Row],[MALE]:[MEN]])</f>
        <v>0</v>
      </c>
    </row>
    <row r="182" spans="1:21" x14ac:dyDescent="0.35">
      <c r="A182" s="49"/>
      <c r="B182" s="51">
        <f t="shared" si="10"/>
        <v>0</v>
      </c>
      <c r="C182" s="52" t="str">
        <f t="shared" si="11"/>
        <v>Jan-1900</v>
      </c>
      <c r="D182" s="52" t="str">
        <f>IFERROR(INDEX(Sheet1!$A$2:$A$104,MATCH(SessionData[[#This Row],[Communities]],Sheet1!$B$2:$B$104,0)),"")</f>
        <v/>
      </c>
      <c r="U182" s="51">
        <f>SUM(SessionData[[#This Row],[MALE]:[MEN]])</f>
        <v>0</v>
      </c>
    </row>
    <row r="183" spans="1:21" x14ac:dyDescent="0.35">
      <c r="A183" s="49"/>
      <c r="B183" s="51">
        <f t="shared" si="10"/>
        <v>0</v>
      </c>
      <c r="C183" s="52" t="str">
        <f t="shared" si="11"/>
        <v>Jan-1900</v>
      </c>
      <c r="D183" s="52" t="str">
        <f>IFERROR(INDEX(Sheet1!$A$2:$A$104,MATCH(SessionData[[#This Row],[Communities]],Sheet1!$B$2:$B$104,0)),"")</f>
        <v/>
      </c>
      <c r="U183" s="51">
        <f>SUM(SessionData[[#This Row],[MALE]:[MEN]])</f>
        <v>0</v>
      </c>
    </row>
    <row r="184" spans="1:21" x14ac:dyDescent="0.35">
      <c r="A184" s="49"/>
      <c r="B184" s="51">
        <f t="shared" si="10"/>
        <v>0</v>
      </c>
      <c r="C184" s="52" t="str">
        <f t="shared" si="11"/>
        <v>Jan-1900</v>
      </c>
      <c r="D184" s="52" t="str">
        <f>IFERROR(INDEX(Sheet1!$A$2:$A$104,MATCH(SessionData[[#This Row],[Communities]],Sheet1!$B$2:$B$104,0)),"")</f>
        <v/>
      </c>
      <c r="U184" s="51">
        <f>SUM(SessionData[[#This Row],[MALE]:[MEN]])</f>
        <v>0</v>
      </c>
    </row>
    <row r="185" spans="1:21" x14ac:dyDescent="0.35">
      <c r="A185" s="49"/>
      <c r="B185" s="51">
        <f t="shared" si="10"/>
        <v>0</v>
      </c>
      <c r="C185" s="52" t="str">
        <f t="shared" si="11"/>
        <v>Jan-1900</v>
      </c>
      <c r="D185" s="52" t="str">
        <f>IFERROR(INDEX(Sheet1!$A$2:$A$104,MATCH(SessionData[[#This Row],[Communities]],Sheet1!$B$2:$B$104,0)),"")</f>
        <v/>
      </c>
      <c r="U185" s="51">
        <f>SUM(SessionData[[#This Row],[MALE]:[MEN]])</f>
        <v>0</v>
      </c>
    </row>
    <row r="186" spans="1:21" x14ac:dyDescent="0.35">
      <c r="A186" s="49"/>
      <c r="B186" s="51">
        <f t="shared" si="10"/>
        <v>0</v>
      </c>
      <c r="C186" s="52" t="str">
        <f t="shared" si="11"/>
        <v>Jan-1900</v>
      </c>
      <c r="D186" s="52" t="str">
        <f>IFERROR(INDEX(Sheet1!$A$2:$A$104,MATCH(SessionData[[#This Row],[Communities]],Sheet1!$B$2:$B$104,0)),"")</f>
        <v/>
      </c>
      <c r="U186" s="51">
        <f>SUM(SessionData[[#This Row],[MALE]:[MEN]])</f>
        <v>0</v>
      </c>
    </row>
    <row r="187" spans="1:21" x14ac:dyDescent="0.35">
      <c r="A187" s="49"/>
      <c r="B187" s="51">
        <f t="shared" si="10"/>
        <v>0</v>
      </c>
      <c r="C187" s="52" t="str">
        <f t="shared" si="11"/>
        <v>Jan-1900</v>
      </c>
      <c r="D187" s="52" t="str">
        <f>IFERROR(INDEX(Sheet1!$A$2:$A$104,MATCH(SessionData[[#This Row],[Communities]],Sheet1!$B$2:$B$104,0)),"")</f>
        <v/>
      </c>
      <c r="U187" s="51">
        <f>SUM(SessionData[[#This Row],[MALE]:[MEN]])</f>
        <v>0</v>
      </c>
    </row>
    <row r="188" spans="1:21" x14ac:dyDescent="0.35">
      <c r="A188" s="49"/>
      <c r="B188" s="51">
        <f t="shared" si="10"/>
        <v>0</v>
      </c>
      <c r="C188" s="52" t="str">
        <f t="shared" si="11"/>
        <v>Jan-1900</v>
      </c>
      <c r="D188" s="52" t="str">
        <f>IFERROR(INDEX(Sheet1!$A$2:$A$104,MATCH(SessionData[[#This Row],[Communities]],Sheet1!$B$2:$B$104,0)),"")</f>
        <v/>
      </c>
      <c r="U188" s="51">
        <f>SUM(SessionData[[#This Row],[MALE]:[MEN]])</f>
        <v>0</v>
      </c>
    </row>
    <row r="189" spans="1:21" x14ac:dyDescent="0.35">
      <c r="A189" s="49"/>
      <c r="B189" s="51">
        <f t="shared" si="10"/>
        <v>0</v>
      </c>
      <c r="C189" s="52" t="str">
        <f t="shared" si="11"/>
        <v>Jan-1900</v>
      </c>
      <c r="D189" s="52" t="str">
        <f>IFERROR(INDEX(Sheet1!$A$2:$A$104,MATCH(SessionData[[#This Row],[Communities]],Sheet1!$B$2:$B$104,0)),"")</f>
        <v/>
      </c>
      <c r="U189" s="51">
        <f>SUM(SessionData[[#This Row],[MALE]:[MEN]])</f>
        <v>0</v>
      </c>
    </row>
    <row r="190" spans="1:21" x14ac:dyDescent="0.35">
      <c r="A190" s="49"/>
      <c r="B190" s="51">
        <f t="shared" si="10"/>
        <v>0</v>
      </c>
      <c r="C190" s="52" t="str">
        <f t="shared" si="11"/>
        <v>Jan-1900</v>
      </c>
      <c r="D190" s="52" t="str">
        <f>IFERROR(INDEX(Sheet1!$A$2:$A$104,MATCH(SessionData[[#This Row],[Communities]],Sheet1!$B$2:$B$104,0)),"")</f>
        <v/>
      </c>
      <c r="U190" s="51">
        <f>SUM(SessionData[[#This Row],[MALE]:[MEN]])</f>
        <v>0</v>
      </c>
    </row>
    <row r="191" spans="1:21" x14ac:dyDescent="0.35">
      <c r="A191" s="49"/>
      <c r="B191" s="51">
        <f t="shared" si="10"/>
        <v>0</v>
      </c>
      <c r="C191" s="52" t="str">
        <f t="shared" si="11"/>
        <v>Jan-1900</v>
      </c>
      <c r="D191" s="52" t="str">
        <f>IFERROR(INDEX(Sheet1!$A$2:$A$104,MATCH(SessionData[[#This Row],[Communities]],Sheet1!$B$2:$B$104,0)),"")</f>
        <v/>
      </c>
      <c r="U191" s="51">
        <f>SUM(SessionData[[#This Row],[MALE]:[MEN]])</f>
        <v>0</v>
      </c>
    </row>
    <row r="192" spans="1:21" x14ac:dyDescent="0.35">
      <c r="A192" s="49"/>
      <c r="B192" s="51">
        <f t="shared" si="10"/>
        <v>0</v>
      </c>
      <c r="C192" s="52" t="str">
        <f t="shared" si="11"/>
        <v>Jan-1900</v>
      </c>
      <c r="D192" s="52" t="str">
        <f>IFERROR(INDEX(Sheet1!$A$2:$A$104,MATCH(SessionData[[#This Row],[Communities]],Sheet1!$B$2:$B$104,0)),"")</f>
        <v/>
      </c>
      <c r="U192" s="51">
        <f>SUM(SessionData[[#This Row],[MALE]:[MEN]])</f>
        <v>0</v>
      </c>
    </row>
    <row r="193" spans="1:21" x14ac:dyDescent="0.35">
      <c r="A193" s="49"/>
      <c r="B193" s="51">
        <f t="shared" si="10"/>
        <v>0</v>
      </c>
      <c r="C193" s="52" t="str">
        <f t="shared" si="11"/>
        <v>Jan-1900</v>
      </c>
      <c r="D193" s="52" t="str">
        <f>IFERROR(INDEX(Sheet1!$A$2:$A$104,MATCH(SessionData[[#This Row],[Communities]],Sheet1!$B$2:$B$104,0)),"")</f>
        <v/>
      </c>
      <c r="U193" s="51">
        <f>SUM(SessionData[[#This Row],[MALE]:[MEN]])</f>
        <v>0</v>
      </c>
    </row>
    <row r="194" spans="1:21" x14ac:dyDescent="0.35">
      <c r="A194" s="49"/>
      <c r="B194" s="51">
        <f t="shared" si="10"/>
        <v>0</v>
      </c>
      <c r="C194" s="52" t="str">
        <f t="shared" si="11"/>
        <v>Jan-1900</v>
      </c>
      <c r="D194" s="52" t="str">
        <f>IFERROR(INDEX(Sheet1!$A$2:$A$104,MATCH(SessionData[[#This Row],[Communities]],Sheet1!$B$2:$B$104,0)),"")</f>
        <v/>
      </c>
      <c r="U194" s="51">
        <f>SUM(SessionData[[#This Row],[MALE]:[MEN]])</f>
        <v>0</v>
      </c>
    </row>
    <row r="195" spans="1:21" x14ac:dyDescent="0.35">
      <c r="A195" s="49"/>
      <c r="B195" s="51">
        <f t="shared" ref="B195:B202" si="12">WEEKNUM(A195)</f>
        <v>0</v>
      </c>
      <c r="C195" s="52" t="str">
        <f t="shared" ref="C195:C202" si="13">TEXT(A195,"mmm-yyyy")</f>
        <v>Jan-1900</v>
      </c>
      <c r="D195" s="52" t="str">
        <f>IFERROR(INDEX(Sheet1!$A$2:$A$104,MATCH(SessionData[[#This Row],[Communities]],Sheet1!$B$2:$B$104,0)),"")</f>
        <v/>
      </c>
      <c r="U195" s="51">
        <f>SUM(SessionData[[#This Row],[MALE]:[MEN]])</f>
        <v>0</v>
      </c>
    </row>
    <row r="196" spans="1:21" x14ac:dyDescent="0.35">
      <c r="A196" s="49"/>
      <c r="B196" s="51">
        <f t="shared" si="12"/>
        <v>0</v>
      </c>
      <c r="C196" s="52" t="str">
        <f t="shared" si="13"/>
        <v>Jan-1900</v>
      </c>
      <c r="D196" s="52" t="str">
        <f>IFERROR(INDEX(Sheet1!$A$2:$A$104,MATCH(SessionData[[#This Row],[Communities]],Sheet1!$B$2:$B$104,0)),"")</f>
        <v/>
      </c>
      <c r="U196" s="51">
        <f>SUM(SessionData[[#This Row],[MALE]:[MEN]])</f>
        <v>0</v>
      </c>
    </row>
    <row r="197" spans="1:21" x14ac:dyDescent="0.35">
      <c r="A197" s="49"/>
      <c r="B197" s="51">
        <f t="shared" si="12"/>
        <v>0</v>
      </c>
      <c r="C197" s="52" t="str">
        <f t="shared" si="13"/>
        <v>Jan-1900</v>
      </c>
      <c r="D197" s="52" t="str">
        <f>IFERROR(INDEX(Sheet1!$A$2:$A$104,MATCH(SessionData[[#This Row],[Communities]],Sheet1!$B$2:$B$104,0)),"")</f>
        <v/>
      </c>
      <c r="U197" s="51">
        <f>SUM(SessionData[[#This Row],[MALE]:[MEN]])</f>
        <v>0</v>
      </c>
    </row>
    <row r="198" spans="1:21" x14ac:dyDescent="0.35">
      <c r="A198" s="49"/>
      <c r="B198" s="51">
        <f t="shared" si="12"/>
        <v>0</v>
      </c>
      <c r="C198" s="52" t="str">
        <f t="shared" si="13"/>
        <v>Jan-1900</v>
      </c>
      <c r="D198" s="52" t="str">
        <f>IFERROR(INDEX(Sheet1!$A$2:$A$104,MATCH(SessionData[[#This Row],[Communities]],Sheet1!$B$2:$B$104,0)),"")</f>
        <v/>
      </c>
      <c r="U198" s="51">
        <f>SUM(SessionData[[#This Row],[MALE]:[MEN]])</f>
        <v>0</v>
      </c>
    </row>
    <row r="199" spans="1:21" x14ac:dyDescent="0.35">
      <c r="A199" s="49"/>
      <c r="B199" s="51">
        <f t="shared" si="12"/>
        <v>0</v>
      </c>
      <c r="C199" s="52" t="str">
        <f t="shared" si="13"/>
        <v>Jan-1900</v>
      </c>
      <c r="D199" s="52" t="str">
        <f>IFERROR(INDEX(Sheet1!$A$2:$A$104,MATCH(SessionData[[#This Row],[Communities]],Sheet1!$B$2:$B$104,0)),"")</f>
        <v/>
      </c>
      <c r="U199" s="51">
        <f>SUM(SessionData[[#This Row],[MALE]:[MEN]])</f>
        <v>0</v>
      </c>
    </row>
    <row r="200" spans="1:21" x14ac:dyDescent="0.35">
      <c r="A200" s="49"/>
      <c r="B200" s="51">
        <f t="shared" si="12"/>
        <v>0</v>
      </c>
      <c r="C200" s="52" t="str">
        <f t="shared" si="13"/>
        <v>Jan-1900</v>
      </c>
      <c r="D200" s="52" t="str">
        <f>IFERROR(INDEX(Sheet1!$A$2:$A$104,MATCH(SessionData[[#This Row],[Communities]],Sheet1!$B$2:$B$104,0)),"")</f>
        <v/>
      </c>
      <c r="U200" s="51">
        <f>SUM(SessionData[[#This Row],[MALE]:[MEN]])</f>
        <v>0</v>
      </c>
    </row>
    <row r="201" spans="1:21" x14ac:dyDescent="0.35">
      <c r="A201" s="49"/>
      <c r="B201" s="51">
        <f t="shared" si="12"/>
        <v>0</v>
      </c>
      <c r="C201" s="52" t="str">
        <f t="shared" si="13"/>
        <v>Jan-1900</v>
      </c>
      <c r="D201" s="52" t="str">
        <f>IFERROR(INDEX(Sheet1!$A$2:$A$104,MATCH(SessionData[[#This Row],[Communities]],Sheet1!$B$2:$B$104,0)),"")</f>
        <v/>
      </c>
      <c r="U201" s="51">
        <f>SUM(SessionData[[#This Row],[MALE]:[MEN]])</f>
        <v>0</v>
      </c>
    </row>
    <row r="202" spans="1:21" x14ac:dyDescent="0.35">
      <c r="A202" s="49"/>
      <c r="B202" s="51">
        <f t="shared" si="12"/>
        <v>0</v>
      </c>
      <c r="C202" s="52" t="str">
        <f t="shared" si="13"/>
        <v>Jan-1900</v>
      </c>
      <c r="D202" s="50"/>
    </row>
  </sheetData>
  <sheetProtection algorithmName="SHA-512" hashValue="awLrwdX2ysB/NV+lNOsh0Ig9m77wUYsAH4x9MkmkH0ElamVC0PpKa8zIT6Jd+AmYwCUw9zeMo4oB1NMDqAIq/g==" saltValue="a6cfK/MSq1GNpdtRbVLlUA==" spinCount="100000" sheet="1" objects="1" scenarios="1"/>
  <mergeCells count="5">
    <mergeCell ref="O1:P1"/>
    <mergeCell ref="I1:J1"/>
    <mergeCell ref="K1:L1"/>
    <mergeCell ref="M1:N1"/>
    <mergeCell ref="D1:E1"/>
  </mergeCells>
  <phoneticPr fontId="18" type="noConversion"/>
  <dataValidations count="3">
    <dataValidation type="list" allowBlank="1" showInputMessage="1" showErrorMessage="1" sqref="G3:G20" xr:uid="{00000000-0002-0000-0000-000000000000}">
      <formula1>"Adolescents,Youth,Adults"</formula1>
    </dataValidation>
    <dataValidation type="list" allowBlank="1" showInputMessage="1" showErrorMessage="1" sqref="H3:H201" xr:uid="{10F8C538-B048-452C-8060-712B6F3580D5}">
      <formula1>"SPS Project, VIAC Program, HVF Project,MAMA Project,WHW Project"</formula1>
    </dataValidation>
    <dataValidation allowBlank="1" showInputMessage="1" showErrorMessage="1" sqref="D1:D1048576 E1:E2 E202:E1048576" xr:uid="{E99A6EB3-8EE2-4945-A3F9-9947D8D173ED}"/>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E201C81-43C5-4F7F-8058-A055D3B2557E}">
          <x14:formula1>
            <xm:f>Sheet1!$B$2:$B$104</xm:f>
          </x14:formula1>
          <xm:sqref>E3:E201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5"/>
  <sheetViews>
    <sheetView showGridLines="0" workbookViewId="0">
      <selection activeCell="E15" sqref="E15"/>
    </sheetView>
  </sheetViews>
  <sheetFormatPr defaultRowHeight="14.5" x14ac:dyDescent="0.35"/>
  <cols>
    <col min="1" max="1" width="12.7265625" style="11" customWidth="1"/>
    <col min="2" max="2" width="11" style="11" customWidth="1"/>
    <col min="3" max="3" width="4.6328125" style="11" customWidth="1"/>
    <col min="4" max="4" width="22.453125" style="11" bestFit="1" customWidth="1"/>
    <col min="5" max="5" width="11.453125" style="11" bestFit="1" customWidth="1"/>
    <col min="6" max="6" width="4.6328125" style="11" customWidth="1"/>
    <col min="7" max="16384" width="8.7265625" style="11"/>
  </cols>
  <sheetData>
    <row r="1" spans="1:15" ht="9.5" customHeight="1" x14ac:dyDescent="0.35">
      <c r="A1" s="38"/>
      <c r="B1" s="38"/>
      <c r="C1" s="38"/>
      <c r="D1" s="38"/>
      <c r="E1" s="38"/>
      <c r="F1" s="38"/>
      <c r="G1" s="38"/>
      <c r="H1" s="38"/>
      <c r="I1" s="38"/>
      <c r="J1" s="38"/>
      <c r="K1" s="38"/>
      <c r="L1" s="38"/>
      <c r="M1" s="38"/>
      <c r="N1" s="38"/>
      <c r="O1" s="38"/>
    </row>
    <row r="2" spans="1:15" x14ac:dyDescent="0.35">
      <c r="A2" s="39" t="s">
        <v>95</v>
      </c>
      <c r="B2" s="39" t="s">
        <v>109</v>
      </c>
      <c r="D2" s="40" t="s">
        <v>110</v>
      </c>
      <c r="E2" s="40" t="s">
        <v>109</v>
      </c>
    </row>
    <row r="3" spans="1:15" x14ac:dyDescent="0.35">
      <c r="A3" s="41" t="s">
        <v>111</v>
      </c>
      <c r="B3" s="26">
        <f>SUMIF(Data_Entry!C:C,TEXT(A3,"mmm-yyyy"),Data_Entry!U:U)</f>
        <v>0</v>
      </c>
      <c r="D3" s="25" t="s">
        <v>112</v>
      </c>
      <c r="E3" s="27">
        <f>SUM(SessionData[MALE])+SUM(SessionData[MALE:])+SUM(SessionData[MALE.])+SUM(SessionData[MALE-])+SUM(SessionData[MALE_])+SessionData[[#This Row],[MEN]]</f>
        <v>0</v>
      </c>
    </row>
    <row r="4" spans="1:15" x14ac:dyDescent="0.35">
      <c r="A4" s="41" t="s">
        <v>113</v>
      </c>
      <c r="B4" s="26">
        <f>SUMIF(Data_Entry!C:C,TEXT(A4,"mmm-yyyy"),Data_Entry!U:U)</f>
        <v>0</v>
      </c>
      <c r="D4" s="25" t="s">
        <v>114</v>
      </c>
      <c r="E4" s="27">
        <f>SUM(SessionData[FEMALE])+SUM(SessionData[FEMALE:])+SUM(SessionData[FEMALE.])+SUM(SessionData[FEMALE-])+SUM(SessionData[FEMALE_])+Data_Entry!S3</f>
        <v>0</v>
      </c>
    </row>
    <row r="5" spans="1:15" x14ac:dyDescent="0.35">
      <c r="A5" s="41" t="s">
        <v>115</v>
      </c>
      <c r="B5" s="26">
        <f>SUMIF(Data_Entry!C:C,TEXT(A5,"mmm-yyyy"),Data_Entry!U:U)</f>
        <v>0</v>
      </c>
      <c r="D5" s="25" t="s">
        <v>116</v>
      </c>
      <c r="E5" s="27">
        <f>0</f>
        <v>0</v>
      </c>
    </row>
    <row r="6" spans="1:15" x14ac:dyDescent="0.35">
      <c r="A6" s="41" t="s">
        <v>117</v>
      </c>
      <c r="B6" s="26">
        <f>SUMIF(Data_Entry!C:C,TEXT(A6,"mmm-yyyy"),Data_Entry!U:U)</f>
        <v>0</v>
      </c>
    </row>
    <row r="7" spans="1:15" x14ac:dyDescent="0.35">
      <c r="A7" s="41" t="s">
        <v>118</v>
      </c>
      <c r="B7" s="26">
        <f>SUMIF(Data_Entry!C:C,TEXT(A7,"mmm-yyyy"),Data_Entry!U:U)</f>
        <v>0</v>
      </c>
      <c r="D7" s="42" t="s">
        <v>119</v>
      </c>
      <c r="E7" s="42" t="s">
        <v>109</v>
      </c>
    </row>
    <row r="8" spans="1:15" x14ac:dyDescent="0.35">
      <c r="A8" s="41" t="s">
        <v>120</v>
      </c>
      <c r="B8" s="26">
        <f>SUMIF(Data_Entry!C:C,TEXT(A8,"mmm-yyyy"),Data_Entry!U:U)</f>
        <v>0</v>
      </c>
      <c r="D8" s="26" t="str">
        <f>Data_Entry!I1</f>
        <v>Sex workers</v>
      </c>
      <c r="E8" s="27">
        <f>SUM(Data_Entry!I:J)</f>
        <v>0</v>
      </c>
    </row>
    <row r="9" spans="1:15" x14ac:dyDescent="0.35">
      <c r="A9" s="41" t="s">
        <v>121</v>
      </c>
      <c r="B9" s="26">
        <f>SUMIF(Data_Entry!C:C,TEXT(A9,"mmm-yyyy"),Data_Entry!U:U)</f>
        <v>0</v>
      </c>
      <c r="D9" s="26" t="str">
        <f>Data_Entry!K1</f>
        <v>Gender Minorities</v>
      </c>
      <c r="E9" s="27">
        <f>SUM(Data_Entry!K:L)</f>
        <v>0</v>
      </c>
    </row>
    <row r="10" spans="1:15" x14ac:dyDescent="0.35">
      <c r="A10" s="41" t="s">
        <v>122</v>
      </c>
      <c r="B10" s="26">
        <f>SUMIF(Data_Entry!C:C,TEXT(A10,"mmm-yyyy"),Data_Entry!U:U)</f>
        <v>0</v>
      </c>
      <c r="D10" s="26" t="str">
        <f>Data_Entry!M1</f>
        <v xml:space="preserve">IDP </v>
      </c>
      <c r="E10" s="27">
        <f>SUM(Data_Entry!M:N)</f>
        <v>0</v>
      </c>
    </row>
    <row r="11" spans="1:15" x14ac:dyDescent="0.35">
      <c r="A11" s="41" t="s">
        <v>123</v>
      </c>
      <c r="B11" s="26">
        <f>SUMIF(Data_Entry!C:C,TEXT(A11,"mmm-yyyy"),Data_Entry!U:U)</f>
        <v>0</v>
      </c>
      <c r="D11" s="26" t="str">
        <f>Data_Entry!O1</f>
        <v>Persons with disabilities</v>
      </c>
      <c r="E11" s="27">
        <f>SUM(Data_Entry!O:P)</f>
        <v>0</v>
      </c>
    </row>
    <row r="12" spans="1:15" x14ac:dyDescent="0.35">
      <c r="A12" s="41" t="s">
        <v>124</v>
      </c>
      <c r="B12" s="26">
        <f>SUMIF(Data_Entry!C:C,TEXT(A12,"mmm-yyyy"),Data_Entry!U:U)</f>
        <v>0</v>
      </c>
      <c r="D12" s="26" t="str">
        <f>Data_Entry!Q1</f>
        <v>AGY-W</v>
      </c>
      <c r="E12" s="27">
        <f>SUM(Data_Entry!Q:Q)</f>
        <v>0</v>
      </c>
    </row>
    <row r="13" spans="1:15" x14ac:dyDescent="0.35">
      <c r="A13" s="41" t="s">
        <v>125</v>
      </c>
      <c r="B13" s="26">
        <f>SUMIF(Data_Entry!C:C,TEXT(A13,"mmm-yyyy"),Data_Entry!U:U)</f>
        <v>0</v>
      </c>
      <c r="D13" s="53" t="str">
        <f>Data_Entry!R1</f>
        <v>ABY-M</v>
      </c>
      <c r="E13" s="54">
        <f>SUM(Data_Entry!R:R)</f>
        <v>0</v>
      </c>
    </row>
    <row r="14" spans="1:15" x14ac:dyDescent="0.35">
      <c r="A14" s="41" t="s">
        <v>126</v>
      </c>
      <c r="B14" s="26">
        <f>SUMIF(Data_Entry!C:C,TEXT(A14,"mmm-yyyy"),Data_Entry!U:U)</f>
        <v>0</v>
      </c>
      <c r="D14" s="56" t="str">
        <f>SessionData[[#Headers],[WOMEN]]</f>
        <v>WOMEN</v>
      </c>
      <c r="E14" s="54">
        <f>SUM(Data_Entry!S:S)</f>
        <v>0</v>
      </c>
    </row>
    <row r="15" spans="1:15" x14ac:dyDescent="0.35">
      <c r="D15" s="57" t="str">
        <f>SessionData[[#Headers],[MEN]]</f>
        <v>MEN</v>
      </c>
      <c r="E15" s="55">
        <f>SUM(Data_Entry!T:T)</f>
        <v>0</v>
      </c>
    </row>
  </sheetData>
  <sheetProtection algorithmName="SHA-512" hashValue="IvxSA7e5nnNgnm8MEY3RvudfAGpS3CtqlBc3LXR4+pAC0po27niKq0nFKygLc6ccCRhtjtswFvKp0ouwYHL+Zw==" saltValue="OOtvIfDP3jvLaGdQDJQTyw==" spinCount="100000" sheet="1" objects="1" scenarios="1"/>
  <conditionalFormatting sqref="E3">
    <cfRule type="dataBar" priority="3">
      <dataBar>
        <cfvo type="min"/>
        <cfvo type="max"/>
        <color rgb="FF5B9BD5"/>
      </dataBar>
      <extLst>
        <ext xmlns:x14="http://schemas.microsoft.com/office/spreadsheetml/2009/9/main" uri="{B025F937-C7B1-47D3-B67F-A62EFF666E3E}">
          <x14:id>{4B917D12-A457-4A54-B933-D3F160874128}</x14:id>
        </ext>
      </extLst>
    </cfRule>
  </conditionalFormatting>
  <conditionalFormatting sqref="E3:E5">
    <cfRule type="dataBar" priority="2">
      <dataBar>
        <cfvo type="min"/>
        <cfvo type="max"/>
        <color rgb="FF63C384"/>
      </dataBar>
      <extLst>
        <ext xmlns:x14="http://schemas.microsoft.com/office/spreadsheetml/2009/9/main" uri="{B025F937-C7B1-47D3-B67F-A62EFF666E3E}">
          <x14:id>{FC638BDB-E5AA-4E6F-A658-47FB2F5BD6E1}</x14:id>
        </ext>
      </extLst>
    </cfRule>
  </conditionalFormatting>
  <conditionalFormatting sqref="E4">
    <cfRule type="dataBar" priority="11">
      <dataBar>
        <cfvo type="min"/>
        <cfvo type="max"/>
        <color rgb="FF5B9BD5"/>
      </dataBar>
      <extLst>
        <ext xmlns:x14="http://schemas.microsoft.com/office/spreadsheetml/2009/9/main" uri="{B025F937-C7B1-47D3-B67F-A62EFF666E3E}">
          <x14:id>{94172213-E05C-4710-BE75-CC902F19B2DD}</x14:id>
        </ext>
      </extLst>
    </cfRule>
  </conditionalFormatting>
  <conditionalFormatting sqref="E5">
    <cfRule type="dataBar" priority="10">
      <dataBar>
        <cfvo type="min"/>
        <cfvo type="max"/>
        <color rgb="FF5B9BD5"/>
      </dataBar>
      <extLst>
        <ext xmlns:x14="http://schemas.microsoft.com/office/spreadsheetml/2009/9/main" uri="{B025F937-C7B1-47D3-B67F-A62EFF666E3E}">
          <x14:id>{FA5DF57F-F2CC-4716-9B91-A4CDE77B7851}</x14:id>
        </ext>
      </extLst>
    </cfRule>
  </conditionalFormatting>
  <conditionalFormatting sqref="E8">
    <cfRule type="dataBar" priority="9">
      <dataBar>
        <cfvo type="min"/>
        <cfvo type="max"/>
        <color rgb="FF5B9BD5"/>
      </dataBar>
      <extLst>
        <ext xmlns:x14="http://schemas.microsoft.com/office/spreadsheetml/2009/9/main" uri="{B025F937-C7B1-47D3-B67F-A62EFF666E3E}">
          <x14:id>{BFC1EFA6-35D8-4B08-8F3F-ADC2EF05E55B}</x14:id>
        </ext>
      </extLst>
    </cfRule>
  </conditionalFormatting>
  <conditionalFormatting sqref="E8:E15">
    <cfRule type="dataBar" priority="1">
      <dataBar>
        <cfvo type="min"/>
        <cfvo type="max"/>
        <color rgb="FF008AEF"/>
      </dataBar>
      <extLst>
        <ext xmlns:x14="http://schemas.microsoft.com/office/spreadsheetml/2009/9/main" uri="{B025F937-C7B1-47D3-B67F-A62EFF666E3E}">
          <x14:id>{85392643-9D56-49F8-A352-0072DFB0EC62}</x14:id>
        </ext>
      </extLst>
    </cfRule>
  </conditionalFormatting>
  <conditionalFormatting sqref="E9">
    <cfRule type="dataBar" priority="8">
      <dataBar>
        <cfvo type="min"/>
        <cfvo type="max"/>
        <color rgb="FF5B9BD5"/>
      </dataBar>
      <extLst>
        <ext xmlns:x14="http://schemas.microsoft.com/office/spreadsheetml/2009/9/main" uri="{B025F937-C7B1-47D3-B67F-A62EFF666E3E}">
          <x14:id>{D0C930B5-8FF5-4FC2-97A4-A511B3651274}</x14:id>
        </ext>
      </extLst>
    </cfRule>
  </conditionalFormatting>
  <conditionalFormatting sqref="E10">
    <cfRule type="dataBar" priority="7">
      <dataBar>
        <cfvo type="min"/>
        <cfvo type="max"/>
        <color rgb="FF5B9BD5"/>
      </dataBar>
      <extLst>
        <ext xmlns:x14="http://schemas.microsoft.com/office/spreadsheetml/2009/9/main" uri="{B025F937-C7B1-47D3-B67F-A62EFF666E3E}">
          <x14:id>{ADABA3C4-5B42-4EF9-8402-A6755DF878F9}</x14:id>
        </ext>
      </extLst>
    </cfRule>
  </conditionalFormatting>
  <conditionalFormatting sqref="E11">
    <cfRule type="dataBar" priority="6">
      <dataBar>
        <cfvo type="min"/>
        <cfvo type="max"/>
        <color rgb="FF5B9BD5"/>
      </dataBar>
      <extLst>
        <ext xmlns:x14="http://schemas.microsoft.com/office/spreadsheetml/2009/9/main" uri="{B025F937-C7B1-47D3-B67F-A62EFF666E3E}">
          <x14:id>{23E02691-56F5-43BD-84C0-6A911752FA01}</x14:id>
        </ext>
      </extLst>
    </cfRule>
  </conditionalFormatting>
  <conditionalFormatting sqref="E12">
    <cfRule type="dataBar" priority="5">
      <dataBar>
        <cfvo type="min"/>
        <cfvo type="max"/>
        <color rgb="FF5B9BD5"/>
      </dataBar>
      <extLst>
        <ext xmlns:x14="http://schemas.microsoft.com/office/spreadsheetml/2009/9/main" uri="{B025F937-C7B1-47D3-B67F-A62EFF666E3E}">
          <x14:id>{B6BEF01B-B034-49C3-9475-A1753E2BC768}</x14:id>
        </ext>
      </extLst>
    </cfRule>
  </conditionalFormatting>
  <conditionalFormatting sqref="E13:E15">
    <cfRule type="dataBar" priority="4">
      <dataBar>
        <cfvo type="min"/>
        <cfvo type="max"/>
        <color rgb="FF5B9BD5"/>
      </dataBar>
      <extLst>
        <ext xmlns:x14="http://schemas.microsoft.com/office/spreadsheetml/2009/9/main" uri="{B025F937-C7B1-47D3-B67F-A62EFF666E3E}">
          <x14:id>{7ED10BB3-0F9F-4863-8F05-78F73098891F}</x14:id>
        </ext>
      </extLst>
    </cfRule>
  </conditionalFormatting>
  <pageMargins left="0.75" right="0.75" top="1" bottom="1" header="0.5" footer="0.5"/>
  <pageSetup orientation="portrait"/>
  <drawing r:id="rId1"/>
  <extLst>
    <ext xmlns:x14="http://schemas.microsoft.com/office/spreadsheetml/2009/9/main" uri="{78C0D931-6437-407d-A8EE-F0AAD7539E65}">
      <x14:conditionalFormattings>
        <x14:conditionalFormatting xmlns:xm="http://schemas.microsoft.com/office/excel/2006/main">
          <x14:cfRule type="dataBar" id="{4B917D12-A457-4A54-B933-D3F160874128}">
            <x14:dataBar minLength="0" maxLength="100" border="1" direction="leftToRight" negativeBarColorSameAsPositive="1" axisPosition="none">
              <x14:cfvo type="min"/>
              <x14:cfvo type="max"/>
              <x14:borderColor rgb="FF2E75B6"/>
            </x14:dataBar>
          </x14:cfRule>
          <xm:sqref>E3</xm:sqref>
        </x14:conditionalFormatting>
        <x14:conditionalFormatting xmlns:xm="http://schemas.microsoft.com/office/excel/2006/main">
          <x14:cfRule type="dataBar" id="{FC638BDB-E5AA-4E6F-A658-47FB2F5BD6E1}">
            <x14:dataBar minLength="0" maxLength="100" border="1" negativeBarBorderColorSameAsPositive="0">
              <x14:cfvo type="autoMin"/>
              <x14:cfvo type="autoMax"/>
              <x14:borderColor rgb="FF63C384"/>
              <x14:negativeFillColor rgb="FFFF0000"/>
              <x14:negativeBorderColor rgb="FFFF0000"/>
              <x14:axisColor rgb="FF000000"/>
            </x14:dataBar>
          </x14:cfRule>
          <xm:sqref>E3:E5</xm:sqref>
        </x14:conditionalFormatting>
        <x14:conditionalFormatting xmlns:xm="http://schemas.microsoft.com/office/excel/2006/main">
          <x14:cfRule type="dataBar" id="{94172213-E05C-4710-BE75-CC902F19B2DD}">
            <x14:dataBar minLength="0" maxLength="100" border="1" direction="leftToRight" negativeBarColorSameAsPositive="1" axisPosition="none">
              <x14:cfvo type="min"/>
              <x14:cfvo type="max"/>
              <x14:borderColor rgb="FF2E75B6"/>
            </x14:dataBar>
          </x14:cfRule>
          <xm:sqref>E4</xm:sqref>
        </x14:conditionalFormatting>
        <x14:conditionalFormatting xmlns:xm="http://schemas.microsoft.com/office/excel/2006/main">
          <x14:cfRule type="dataBar" id="{FA5DF57F-F2CC-4716-9B91-A4CDE77B7851}">
            <x14:dataBar minLength="0" maxLength="100" border="1" direction="leftToRight" negativeBarColorSameAsPositive="1" axisPosition="none">
              <x14:cfvo type="min"/>
              <x14:cfvo type="max"/>
              <x14:borderColor rgb="FF2E75B6"/>
            </x14:dataBar>
          </x14:cfRule>
          <xm:sqref>E5</xm:sqref>
        </x14:conditionalFormatting>
        <x14:conditionalFormatting xmlns:xm="http://schemas.microsoft.com/office/excel/2006/main">
          <x14:cfRule type="dataBar" id="{BFC1EFA6-35D8-4B08-8F3F-ADC2EF05E55B}">
            <x14:dataBar minLength="0" maxLength="100" border="1" direction="leftToRight" negativeBarColorSameAsPositive="1" axisPosition="none">
              <x14:cfvo type="min"/>
              <x14:cfvo type="max"/>
              <x14:borderColor rgb="FF2E75B6"/>
            </x14:dataBar>
          </x14:cfRule>
          <xm:sqref>E8</xm:sqref>
        </x14:conditionalFormatting>
        <x14:conditionalFormatting xmlns:xm="http://schemas.microsoft.com/office/excel/2006/main">
          <x14:cfRule type="dataBar" id="{85392643-9D56-49F8-A352-0072DFB0EC62}">
            <x14:dataBar minLength="0" maxLength="100" border="1" negativeBarBorderColorSameAsPositive="0">
              <x14:cfvo type="autoMin"/>
              <x14:cfvo type="autoMax"/>
              <x14:borderColor rgb="FF008AEF"/>
              <x14:negativeFillColor rgb="FFFF0000"/>
              <x14:negativeBorderColor rgb="FFFF0000"/>
              <x14:axisColor rgb="FF000000"/>
            </x14:dataBar>
          </x14:cfRule>
          <xm:sqref>E8:E15</xm:sqref>
        </x14:conditionalFormatting>
        <x14:conditionalFormatting xmlns:xm="http://schemas.microsoft.com/office/excel/2006/main">
          <x14:cfRule type="dataBar" id="{D0C930B5-8FF5-4FC2-97A4-A511B3651274}">
            <x14:dataBar minLength="0" maxLength="100" border="1" direction="leftToRight" negativeBarColorSameAsPositive="1" axisPosition="none">
              <x14:cfvo type="min"/>
              <x14:cfvo type="max"/>
              <x14:borderColor rgb="FF2E75B6"/>
            </x14:dataBar>
          </x14:cfRule>
          <xm:sqref>E9</xm:sqref>
        </x14:conditionalFormatting>
        <x14:conditionalFormatting xmlns:xm="http://schemas.microsoft.com/office/excel/2006/main">
          <x14:cfRule type="dataBar" id="{ADABA3C4-5B42-4EF9-8402-A6755DF878F9}">
            <x14:dataBar minLength="0" maxLength="100" border="1" direction="leftToRight" negativeBarColorSameAsPositive="1" axisPosition="none">
              <x14:cfvo type="min"/>
              <x14:cfvo type="max"/>
              <x14:borderColor rgb="FF2E75B6"/>
            </x14:dataBar>
          </x14:cfRule>
          <xm:sqref>E10</xm:sqref>
        </x14:conditionalFormatting>
        <x14:conditionalFormatting xmlns:xm="http://schemas.microsoft.com/office/excel/2006/main">
          <x14:cfRule type="dataBar" id="{23E02691-56F5-43BD-84C0-6A911752FA01}">
            <x14:dataBar minLength="0" maxLength="100" border="1" direction="leftToRight" negativeBarColorSameAsPositive="1" axisPosition="none">
              <x14:cfvo type="min"/>
              <x14:cfvo type="max"/>
              <x14:borderColor rgb="FF2E75B6"/>
            </x14:dataBar>
          </x14:cfRule>
          <xm:sqref>E11</xm:sqref>
        </x14:conditionalFormatting>
        <x14:conditionalFormatting xmlns:xm="http://schemas.microsoft.com/office/excel/2006/main">
          <x14:cfRule type="dataBar" id="{B6BEF01B-B034-49C3-9475-A1753E2BC768}">
            <x14:dataBar minLength="0" maxLength="100" border="1" direction="leftToRight" negativeBarColorSameAsPositive="1" axisPosition="none">
              <x14:cfvo type="min"/>
              <x14:cfvo type="max"/>
              <x14:borderColor rgb="FF2E75B6"/>
            </x14:dataBar>
          </x14:cfRule>
          <xm:sqref>E12</xm:sqref>
        </x14:conditionalFormatting>
        <x14:conditionalFormatting xmlns:xm="http://schemas.microsoft.com/office/excel/2006/main">
          <x14:cfRule type="dataBar" id="{7ED10BB3-0F9F-4863-8F05-78F73098891F}">
            <x14:dataBar minLength="0" maxLength="100" border="1" direction="leftToRight" negativeBarColorSameAsPositive="1" axisPosition="none">
              <x14:cfvo type="min"/>
              <x14:cfvo type="max"/>
              <x14:borderColor rgb="FF2E75B6"/>
            </x14:dataBar>
          </x14:cfRule>
          <xm:sqref>E13:E15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
  <sheetViews>
    <sheetView showGridLines="0" workbookViewId="0">
      <selection activeCell="C4" sqref="C4"/>
    </sheetView>
  </sheetViews>
  <sheetFormatPr defaultRowHeight="15" customHeight="1" x14ac:dyDescent="0.35"/>
  <cols>
    <col min="1" max="1" width="4.7265625" style="11" customWidth="1"/>
    <col min="2" max="2" width="20.54296875" style="11" customWidth="1"/>
    <col min="3" max="16384" width="8.7265625" style="11"/>
  </cols>
  <sheetData>
    <row r="1" spans="1:14" ht="21" customHeight="1" x14ac:dyDescent="0.5">
      <c r="A1" s="62" t="s">
        <v>178</v>
      </c>
      <c r="B1" s="62"/>
      <c r="C1" s="62"/>
      <c r="D1" s="62"/>
      <c r="E1" s="62"/>
      <c r="F1" s="62"/>
      <c r="G1" s="62"/>
      <c r="H1" s="62"/>
      <c r="I1" s="62"/>
      <c r="J1" s="62"/>
      <c r="K1" s="62"/>
      <c r="L1" s="62"/>
      <c r="M1" s="62"/>
      <c r="N1" s="62"/>
    </row>
    <row r="2" spans="1:14" ht="15" customHeight="1" x14ac:dyDescent="0.35">
      <c r="B2" s="25" t="s">
        <v>127</v>
      </c>
      <c r="C2" s="26">
        <f>SUM(Data_Entry!U:U)</f>
        <v>0</v>
      </c>
    </row>
    <row r="3" spans="1:14" ht="14.5" x14ac:dyDescent="0.35">
      <c r="B3" s="25" t="s">
        <v>128</v>
      </c>
      <c r="C3" s="26">
        <f>COUNTA(Data_Entry!A:A)-1</f>
        <v>0</v>
      </c>
    </row>
    <row r="4" spans="1:14" ht="14.5" x14ac:dyDescent="0.35"/>
    <row r="5" spans="1:14" ht="14.5" x14ac:dyDescent="0.35"/>
    <row r="6" spans="1:14" ht="14.5" x14ac:dyDescent="0.35"/>
    <row r="7" spans="1:14" ht="14.5" x14ac:dyDescent="0.35"/>
  </sheetData>
  <sheetProtection algorithmName="SHA-512" hashValue="16pKOiWoaXrXzA6oFSc17C+zFwrA/Ps/UOZwl2+goL5KjnLVenRlZtQzziyvP1LlQtOWhoeV/Vq1FkbBolr8DA==" saltValue="LlqUXmV509JeJOP998rwkA==" spinCount="100000" sheet="1" objects="1" scenarios="1"/>
  <mergeCells count="1">
    <mergeCell ref="A1:N1"/>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1"/>
  <sheetViews>
    <sheetView showGridLines="0" workbookViewId="0">
      <selection activeCell="G8" sqref="G8"/>
    </sheetView>
  </sheetViews>
  <sheetFormatPr defaultRowHeight="14.5" x14ac:dyDescent="0.35"/>
  <cols>
    <col min="1" max="1" width="16.453125" style="11" customWidth="1"/>
    <col min="2" max="2" width="12.7265625" style="11" customWidth="1"/>
    <col min="3" max="3" width="6.1796875" style="11" customWidth="1"/>
    <col min="4" max="4" width="20.1796875" style="11" customWidth="1"/>
    <col min="5" max="5" width="14.54296875" style="11" customWidth="1"/>
    <col min="6" max="16384" width="8.7265625" style="11"/>
  </cols>
  <sheetData>
    <row r="1" spans="1:5" ht="9" customHeight="1" x14ac:dyDescent="0.35">
      <c r="A1" s="63"/>
      <c r="B1" s="63"/>
      <c r="C1" s="63"/>
      <c r="D1" s="63"/>
      <c r="E1" s="63"/>
    </row>
    <row r="2" spans="1:5" x14ac:dyDescent="0.35">
      <c r="A2" s="37" t="str">
        <f>SessionData[[#Headers],[Communities]]</f>
        <v>Communities</v>
      </c>
      <c r="B2" s="34" t="s">
        <v>109</v>
      </c>
      <c r="C2" s="36"/>
      <c r="D2" s="37" t="str">
        <f>SessionData[[#Headers],[Division - Subdivision]]</f>
        <v>Division - Subdivision</v>
      </c>
      <c r="E2" s="34" t="s">
        <v>109</v>
      </c>
    </row>
    <row r="3" spans="1:5" x14ac:dyDescent="0.35">
      <c r="A3" s="26" t="e" cm="1" vm="1">
        <f t="array" ref="A3">_xlfn._xlws.SORT(_xlfn.UNIQUE(_xlfn._xlws.FILTER(TRIM(SessionData[Communities]), (TRIM(SessionData[Communities])&lt;&gt;"")*(TRIM(SessionData[Communities])&lt;&gt;"0"))))</f>
        <v>#VALUE!</v>
      </c>
      <c r="B3" s="27" t="e" cm="1" vm="2">
        <f t="array" ref="B3">IF(A3="","",SUMPRODUCT((TRIM(SessionData[Communities])=A3)*(SessionData[Participants])))</f>
        <v>#VALUE!</v>
      </c>
      <c r="D3" s="26" t="e" cm="1" vm="1">
        <f t="array" ref="D3">_xlfn._xlws.SORT(_xlfn.UNIQUE(_xlfn._xlws.FILTER(TRIM(SessionData[Division - Subdivision]), (TRIM(SessionData[Division - Subdivision])&lt;&gt;"")*(TRIM(SessionData[Division - Subdivision])&lt;&gt;"0"))))</f>
        <v>#VALUE!</v>
      </c>
      <c r="E3" s="27" t="e" cm="1" vm="2">
        <f t="array" ref="E3">IF(D3="","",SUMPRODUCT((TRIM(SessionData[Division - Subdivision])=D3)*(SessionData[Participants])))</f>
        <v>#VALUE!</v>
      </c>
    </row>
    <row r="4" spans="1:5" x14ac:dyDescent="0.35">
      <c r="A4" s="25"/>
      <c r="B4" s="27" t="str" cm="1">
        <f t="array" ref="B4">IF(A4="","",SUMPRODUCT((TRIM(SessionData[Communities])=A4)*(SessionData[Participants])))</f>
        <v/>
      </c>
      <c r="D4" s="25"/>
      <c r="E4" s="27" t="str" cm="1">
        <f t="array" ref="E4">IF(D4="","",SUMPRODUCT((TRIM(SessionData[Division - Subdivision])=D4)*(SessionData[Participants])))</f>
        <v/>
      </c>
    </row>
    <row r="5" spans="1:5" x14ac:dyDescent="0.35">
      <c r="A5" s="25"/>
      <c r="B5" s="27" t="str" cm="1">
        <f t="array" ref="B5">IF(A5="","",SUMPRODUCT((TRIM(SessionData[Communities])=A5)*(SessionData[Participants])))</f>
        <v/>
      </c>
      <c r="D5" s="25"/>
      <c r="E5" s="27" t="str" cm="1">
        <f t="array" ref="E5">IF(D5="","",SUMPRODUCT((TRIM(SessionData[Division - Subdivision])=D5)*(SessionData[Participants])))</f>
        <v/>
      </c>
    </row>
    <row r="6" spans="1:5" x14ac:dyDescent="0.35">
      <c r="A6" s="25"/>
      <c r="B6" s="27" t="str" cm="1">
        <f t="array" ref="B6">IF(A6="","",SUMPRODUCT((TRIM(SessionData[Communities])=A6)*(SessionData[Participants])))</f>
        <v/>
      </c>
      <c r="D6" s="25"/>
      <c r="E6" s="27" t="str" cm="1">
        <f t="array" ref="E6">IF(D6="","",SUMPRODUCT((TRIM(SessionData[Division - Subdivision])=D6)*(SessionData[Participants])))</f>
        <v/>
      </c>
    </row>
    <row r="7" spans="1:5" x14ac:dyDescent="0.35">
      <c r="A7" s="25"/>
      <c r="B7" s="27" t="str" cm="1">
        <f t="array" ref="B7">IF(A7="","",SUMPRODUCT((TRIM(SessionData[Communities])=A7)*(SessionData[Participants])))</f>
        <v/>
      </c>
      <c r="D7" s="25"/>
      <c r="E7" s="27" t="str" cm="1">
        <f t="array" ref="E7">IF(D7="","",SUMPRODUCT((TRIM(SessionData[Division - Subdivision])=D7)*(SessionData[Participants])))</f>
        <v/>
      </c>
    </row>
    <row r="8" spans="1:5" x14ac:dyDescent="0.35">
      <c r="A8" s="25"/>
      <c r="B8" s="27" t="str" cm="1">
        <f t="array" ref="B8">IF(A8="","",SUMPRODUCT((TRIM(SessionData[Communities])=A8)*(SessionData[Participants])))</f>
        <v/>
      </c>
      <c r="D8" s="25"/>
      <c r="E8" s="27" t="str" cm="1">
        <f t="array" ref="E8">IF(D8="","",SUMPRODUCT((TRIM(SessionData[Division - Subdivision])=D8)*(SessionData[Participants])))</f>
        <v/>
      </c>
    </row>
    <row r="9" spans="1:5" x14ac:dyDescent="0.35">
      <c r="A9" s="25"/>
      <c r="B9" s="35" t="str" cm="1">
        <f t="array" ref="B9">IF(A9="","",SUMPRODUCT((TRIM(SessionData[Communities])=A9)*(SessionData[Participants])))</f>
        <v/>
      </c>
      <c r="D9" s="25"/>
      <c r="E9" s="35" t="str" cm="1">
        <f t="array" ref="E9">IF(D9="","",SUMPRODUCT((TRIM(SessionData[Division - Subdivision])=D9)*(SessionData[Participants])))</f>
        <v/>
      </c>
    </row>
    <row r="10" spans="1:5" x14ac:dyDescent="0.35">
      <c r="A10" s="25"/>
      <c r="B10" s="27" t="str" cm="1">
        <f t="array" ref="B10">IF(A10="","",SUMPRODUCT((TRIM(SessionData[Communities])=A10)*(SessionData[Participants])))</f>
        <v/>
      </c>
      <c r="D10" s="25"/>
      <c r="E10" s="25"/>
    </row>
    <row r="11" spans="1:5" x14ac:dyDescent="0.35">
      <c r="A11" s="25"/>
      <c r="B11" s="35" t="str" cm="1">
        <f t="array" ref="B11">IF(A11="","",SUMPRODUCT((TRIM(SessionData[Communities])=A11)*(SessionData[Participants])))</f>
        <v/>
      </c>
      <c r="D11" s="25"/>
      <c r="E11" s="25"/>
    </row>
    <row r="12" spans="1:5" x14ac:dyDescent="0.35">
      <c r="A12" s="25"/>
      <c r="B12" s="35" t="str" cm="1">
        <f t="array" ref="B12">IF(A12="","",SUMPRODUCT((TRIM(SessionData[Communities])=A12)*(SessionData[Participants])))</f>
        <v/>
      </c>
      <c r="D12" s="25"/>
      <c r="E12" s="25"/>
    </row>
    <row r="13" spans="1:5" x14ac:dyDescent="0.35">
      <c r="A13" s="25"/>
      <c r="B13" s="35" t="str" cm="1">
        <f t="array" ref="B13">IF(A13="","",SUMPRODUCT((TRIM(SessionData[Communities])=A13)*(SessionData[Participants])))</f>
        <v/>
      </c>
      <c r="D13" s="25"/>
      <c r="E13" s="25"/>
    </row>
    <row r="14" spans="1:5" x14ac:dyDescent="0.35">
      <c r="A14" s="25"/>
      <c r="B14" s="35" t="str" cm="1">
        <f t="array" ref="B14">IF(A14="","",SUMPRODUCT((TRIM(SessionData[Communities])=A14)*(SessionData[Participants])))</f>
        <v/>
      </c>
      <c r="D14" s="25"/>
      <c r="E14" s="25"/>
    </row>
    <row r="15" spans="1:5" x14ac:dyDescent="0.35">
      <c r="A15" s="25"/>
      <c r="B15" s="35" t="str" cm="1">
        <f t="array" ref="B15">IF(A15="","",SUMPRODUCT((TRIM(SessionData[Communities])=A15)*(SessionData[Participants])))</f>
        <v/>
      </c>
      <c r="D15" s="25"/>
      <c r="E15" s="25"/>
    </row>
    <row r="16" spans="1:5" x14ac:dyDescent="0.35">
      <c r="A16" s="25"/>
      <c r="B16" s="35" t="str" cm="1">
        <f t="array" ref="B16">IF(A16="","",SUMPRODUCT((TRIM(SessionData[Communities])=A16)*(SessionData[Participants])))</f>
        <v/>
      </c>
      <c r="D16" s="25"/>
      <c r="E16" s="25"/>
    </row>
    <row r="17" spans="1:5" x14ac:dyDescent="0.35">
      <c r="A17" s="25"/>
      <c r="B17" s="35" t="str" cm="1">
        <f t="array" ref="B17">IF(A17="","",SUMPRODUCT((TRIM(SessionData[Communities])=A17)*(SessionData[Participants])))</f>
        <v/>
      </c>
      <c r="D17" s="25"/>
      <c r="E17" s="25"/>
    </row>
    <row r="18" spans="1:5" x14ac:dyDescent="0.35">
      <c r="A18" s="25"/>
      <c r="B18" s="35" t="str" cm="1">
        <f t="array" ref="B18">IF(A18="","",SUMPRODUCT((TRIM(SessionData[Communities])=A18)*(SessionData[Participants])))</f>
        <v/>
      </c>
      <c r="D18" s="25"/>
      <c r="E18" s="25"/>
    </row>
    <row r="19" spans="1:5" x14ac:dyDescent="0.35">
      <c r="B19" s="28" t="str" cm="1">
        <f t="array" ref="B19">IF(A19="","",SUMPRODUCT((TRIM(SessionData[Communities])=A19)*(SessionData[Participants])))</f>
        <v/>
      </c>
    </row>
    <row r="20" spans="1:5" x14ac:dyDescent="0.35">
      <c r="B20" s="28" t="str" cm="1">
        <f t="array" ref="B20">IF(A20="","",SUMPRODUCT((TRIM(SessionData[Communities])=A20)*(SessionData[Participants])))</f>
        <v/>
      </c>
    </row>
    <row r="21" spans="1:5" x14ac:dyDescent="0.35">
      <c r="B21" s="28" t="str" cm="1">
        <f t="array" ref="B21">IF(A21="","",SUMPRODUCT((TRIM(SessionData[Communities])=A21)*(SessionData[Participants])))</f>
        <v/>
      </c>
    </row>
  </sheetData>
  <sheetProtection algorithmName="SHA-512" hashValue="Tapf0bRDlSvhQ0bbJeBThBDJgN+o7BWCFr0FRjzPjQY4uMMTPctJq1Bu6IoA0iW9WV3wktZovODJ9Vf/yTePWQ==" saltValue="6x0vBzifaTs5gkNPOkITGQ==" spinCount="100000" sheet="1" objects="1" scenarios="1"/>
  <mergeCells count="1">
    <mergeCell ref="A1:E1"/>
  </mergeCells>
  <conditionalFormatting sqref="B3">
    <cfRule type="dataBar" priority="7">
      <dataBar>
        <cfvo type="min"/>
        <cfvo type="max"/>
        <color rgb="FF5B9BD5"/>
      </dataBar>
      <extLst>
        <ext xmlns:x14="http://schemas.microsoft.com/office/spreadsheetml/2009/9/main" uri="{B025F937-C7B1-47D3-B67F-A62EFF666E3E}">
          <x14:id>{5255EF8F-9609-4CAF-9CC5-9E3009A68654}</x14:id>
        </ext>
      </extLst>
    </cfRule>
  </conditionalFormatting>
  <conditionalFormatting sqref="B3:B19">
    <cfRule type="dataBar" priority="4">
      <dataBar>
        <cfvo type="min"/>
        <cfvo type="max"/>
        <color rgb="FFD6007B"/>
      </dataBar>
      <extLst>
        <ext xmlns:x14="http://schemas.microsoft.com/office/spreadsheetml/2009/9/main" uri="{B025F937-C7B1-47D3-B67F-A62EFF666E3E}">
          <x14:id>{8E966385-8604-47FD-BC90-A89FF6A68E0B}</x14:id>
        </ext>
      </extLst>
    </cfRule>
  </conditionalFormatting>
  <conditionalFormatting sqref="B4:B8">
    <cfRule type="dataBar" priority="6">
      <dataBar>
        <cfvo type="min"/>
        <cfvo type="max"/>
        <color rgb="FF5B9BD5"/>
      </dataBar>
      <extLst>
        <ext xmlns:x14="http://schemas.microsoft.com/office/spreadsheetml/2009/9/main" uri="{B025F937-C7B1-47D3-B67F-A62EFF666E3E}">
          <x14:id>{C0176706-38BC-4387-AFDC-EB87F001E310}</x14:id>
        </ext>
      </extLst>
    </cfRule>
  </conditionalFormatting>
  <conditionalFormatting sqref="B10">
    <cfRule type="dataBar" priority="5">
      <dataBar>
        <cfvo type="min"/>
        <cfvo type="max"/>
        <color rgb="FF5B9BD5"/>
      </dataBar>
      <extLst>
        <ext xmlns:x14="http://schemas.microsoft.com/office/spreadsheetml/2009/9/main" uri="{B025F937-C7B1-47D3-B67F-A62EFF666E3E}">
          <x14:id>{2F4AB639-1708-4E4C-8C02-C07A455F90B5}</x14:id>
        </ext>
      </extLst>
    </cfRule>
  </conditionalFormatting>
  <conditionalFormatting sqref="E3">
    <cfRule type="dataBar" priority="3">
      <dataBar>
        <cfvo type="min"/>
        <cfvo type="max"/>
        <color rgb="FF5B9BD5"/>
      </dataBar>
      <extLst>
        <ext xmlns:x14="http://schemas.microsoft.com/office/spreadsheetml/2009/9/main" uri="{B025F937-C7B1-47D3-B67F-A62EFF666E3E}">
          <x14:id>{873043AC-E7B4-4621-A86F-614DBF1800E4}</x14:id>
        </ext>
      </extLst>
    </cfRule>
  </conditionalFormatting>
  <conditionalFormatting sqref="E3:E9">
    <cfRule type="dataBar" priority="1">
      <dataBar>
        <cfvo type="min"/>
        <cfvo type="max"/>
        <color rgb="FFD6007B"/>
      </dataBar>
      <extLst>
        <ext xmlns:x14="http://schemas.microsoft.com/office/spreadsheetml/2009/9/main" uri="{B025F937-C7B1-47D3-B67F-A62EFF666E3E}">
          <x14:id>{ABE40C4A-41D6-409F-A31D-1C0B0AAA85AB}</x14:id>
        </ext>
      </extLst>
    </cfRule>
  </conditionalFormatting>
  <conditionalFormatting sqref="E4:E8">
    <cfRule type="dataBar" priority="2">
      <dataBar>
        <cfvo type="min"/>
        <cfvo type="max"/>
        <color rgb="FF5B9BD5"/>
      </dataBar>
      <extLst>
        <ext xmlns:x14="http://schemas.microsoft.com/office/spreadsheetml/2009/9/main" uri="{B025F937-C7B1-47D3-B67F-A62EFF666E3E}">
          <x14:id>{4AEB9FE1-4006-40D6-946D-7A178E3C5BCF}</x14:id>
        </ext>
      </extLst>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5255EF8F-9609-4CAF-9CC5-9E3009A68654}">
            <x14:dataBar minLength="0" maxLength="100" border="1" direction="leftToRight" negativeBarColorSameAsPositive="1" axisPosition="none">
              <x14:cfvo type="min"/>
              <x14:cfvo type="max"/>
              <x14:borderColor rgb="FF2E75B6"/>
            </x14:dataBar>
          </x14:cfRule>
          <xm:sqref>B3</xm:sqref>
        </x14:conditionalFormatting>
        <x14:conditionalFormatting xmlns:xm="http://schemas.microsoft.com/office/excel/2006/main">
          <x14:cfRule type="dataBar" id="{8E966385-8604-47FD-BC90-A89FF6A68E0B}">
            <x14:dataBar minLength="0" maxLength="100" border="1" negativeBarBorderColorSameAsPositive="0">
              <x14:cfvo type="autoMin"/>
              <x14:cfvo type="autoMax"/>
              <x14:borderColor rgb="FFD6007B"/>
              <x14:negativeFillColor rgb="FFFF0000"/>
              <x14:negativeBorderColor rgb="FFFF0000"/>
              <x14:axisColor rgb="FF000000"/>
            </x14:dataBar>
          </x14:cfRule>
          <xm:sqref>B3:B19</xm:sqref>
        </x14:conditionalFormatting>
        <x14:conditionalFormatting xmlns:xm="http://schemas.microsoft.com/office/excel/2006/main">
          <x14:cfRule type="dataBar" id="{C0176706-38BC-4387-AFDC-EB87F001E310}">
            <x14:dataBar minLength="0" maxLength="100" border="1" direction="leftToRight" negativeBarColorSameAsPositive="1" axisPosition="none">
              <x14:cfvo type="min"/>
              <x14:cfvo type="max"/>
              <x14:borderColor rgb="FF2E75B6"/>
            </x14:dataBar>
          </x14:cfRule>
          <xm:sqref>B4:B8</xm:sqref>
        </x14:conditionalFormatting>
        <x14:conditionalFormatting xmlns:xm="http://schemas.microsoft.com/office/excel/2006/main">
          <x14:cfRule type="dataBar" id="{2F4AB639-1708-4E4C-8C02-C07A455F90B5}">
            <x14:dataBar minLength="0" maxLength="100" border="1" direction="leftToRight" negativeBarColorSameAsPositive="1" axisPosition="none">
              <x14:cfvo type="min"/>
              <x14:cfvo type="max"/>
              <x14:borderColor rgb="FF2E75B6"/>
            </x14:dataBar>
          </x14:cfRule>
          <xm:sqref>B10</xm:sqref>
        </x14:conditionalFormatting>
        <x14:conditionalFormatting xmlns:xm="http://schemas.microsoft.com/office/excel/2006/main">
          <x14:cfRule type="dataBar" id="{873043AC-E7B4-4621-A86F-614DBF1800E4}">
            <x14:dataBar minLength="0" maxLength="100" border="1" direction="leftToRight" negativeBarColorSameAsPositive="1" axisPosition="none">
              <x14:cfvo type="min"/>
              <x14:cfvo type="max"/>
              <x14:borderColor rgb="FF2E75B6"/>
            </x14:dataBar>
          </x14:cfRule>
          <xm:sqref>E3</xm:sqref>
        </x14:conditionalFormatting>
        <x14:conditionalFormatting xmlns:xm="http://schemas.microsoft.com/office/excel/2006/main">
          <x14:cfRule type="dataBar" id="{ABE40C4A-41D6-409F-A31D-1C0B0AAA85AB}">
            <x14:dataBar minLength="0" maxLength="100" border="1" negativeBarBorderColorSameAsPositive="0">
              <x14:cfvo type="autoMin"/>
              <x14:cfvo type="autoMax"/>
              <x14:borderColor rgb="FFD6007B"/>
              <x14:negativeFillColor rgb="FFFF0000"/>
              <x14:negativeBorderColor rgb="FFFF0000"/>
              <x14:axisColor rgb="FF000000"/>
            </x14:dataBar>
          </x14:cfRule>
          <xm:sqref>E3:E9</xm:sqref>
        </x14:conditionalFormatting>
        <x14:conditionalFormatting xmlns:xm="http://schemas.microsoft.com/office/excel/2006/main">
          <x14:cfRule type="dataBar" id="{4AEB9FE1-4006-40D6-946D-7A178E3C5BCF}">
            <x14:dataBar minLength="0" maxLength="100" border="1" direction="leftToRight" negativeBarColorSameAsPositive="1" axisPosition="none">
              <x14:cfvo type="min"/>
              <x14:cfvo type="max"/>
              <x14:borderColor rgb="FF2E75B6"/>
            </x14:dataBar>
          </x14:cfRule>
          <xm:sqref>E4:E8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B21"/>
  <sheetViews>
    <sheetView showGridLines="0" workbookViewId="0">
      <selection activeCell="B21" sqref="B21"/>
    </sheetView>
  </sheetViews>
  <sheetFormatPr defaultRowHeight="14.5" x14ac:dyDescent="0.35"/>
  <cols>
    <col min="1" max="1" width="30.453125" style="11" customWidth="1"/>
    <col min="2" max="2" width="13.453125" style="11" customWidth="1"/>
    <col min="3" max="16384" width="8.7265625" style="11"/>
  </cols>
  <sheetData>
    <row r="2" spans="1:2" x14ac:dyDescent="0.35">
      <c r="A2" s="34" t="s">
        <v>96</v>
      </c>
      <c r="B2" s="34" t="s">
        <v>109</v>
      </c>
    </row>
    <row r="3" spans="1:2" x14ac:dyDescent="0.35">
      <c r="A3" s="26" t="e" cm="1" vm="1">
        <f t="array" ref="A3">_xlfn._xlws.SORT(_xlfn.UNIQUE(_xlfn._xlws.FILTER(TRIM(SessionData[Thematic Area]), (TRIM(SessionData[Thematic Area])&lt;&gt;"")*(TRIM(SessionData[Thematic Area])&lt;&gt;"0"))))</f>
        <v>#VALUE!</v>
      </c>
      <c r="B3" s="27" t="e" cm="1" vm="2">
        <f t="array" ref="B3">IF(A3="","",SUMPRODUCT((TRIM(SessionData[Thematic Area])=A3)*(SessionData[Participants])))</f>
        <v>#VALUE!</v>
      </c>
    </row>
    <row r="4" spans="1:2" x14ac:dyDescent="0.35">
      <c r="A4" s="25"/>
      <c r="B4" s="27" t="str" cm="1">
        <f t="array" ref="B4">IF(A4="","",SUMPRODUCT((TRIM(SessionData[Thematic Area])=A4)*(SessionData[Participants])))</f>
        <v/>
      </c>
    </row>
    <row r="5" spans="1:2" x14ac:dyDescent="0.35">
      <c r="A5" s="25"/>
      <c r="B5" s="27" t="str" cm="1">
        <f t="array" ref="B5">IF(A5="","",SUMPRODUCT((TRIM(SessionData[Thematic Area])=A5)*(SessionData[Participants])))</f>
        <v/>
      </c>
    </row>
    <row r="6" spans="1:2" x14ac:dyDescent="0.35">
      <c r="A6" s="25"/>
      <c r="B6" s="27" t="str" cm="1">
        <f t="array" ref="B6">IF(A6="","",SUMPRODUCT((TRIM(SessionData[Thematic Area])=A6)*(SessionData[Participants])))</f>
        <v/>
      </c>
    </row>
    <row r="7" spans="1:2" x14ac:dyDescent="0.35">
      <c r="A7" s="25"/>
      <c r="B7" s="27" t="str" cm="1">
        <f t="array" ref="B7">IF(A7="","",SUMPRODUCT((TRIM(SessionData[Thematic Area])=A7)*(SessionData[Participants])))</f>
        <v/>
      </c>
    </row>
    <row r="8" spans="1:2" x14ac:dyDescent="0.35">
      <c r="A8" s="25"/>
      <c r="B8" s="27" t="str" cm="1">
        <f t="array" ref="B8">IF(A8="","",SUMPRODUCT((TRIM(SessionData[Thematic Area])=A8)*(SessionData[Participants])))</f>
        <v/>
      </c>
    </row>
    <row r="9" spans="1:2" x14ac:dyDescent="0.35">
      <c r="A9" s="25"/>
      <c r="B9" s="35" t="str" cm="1">
        <f t="array" ref="B9">IF(A9="","",SUMPRODUCT((TRIM(SessionData[Thematic Area])=A9)*(SessionData[Participants])))</f>
        <v/>
      </c>
    </row>
    <row r="10" spans="1:2" x14ac:dyDescent="0.35">
      <c r="A10" s="25"/>
      <c r="B10" s="35" t="str" cm="1">
        <f t="array" ref="B10">IF(A10="","",SUMPRODUCT((TRIM(SessionData[Thematic Area])=A10)*(SessionData[Participants])))</f>
        <v/>
      </c>
    </row>
    <row r="11" spans="1:2" x14ac:dyDescent="0.35">
      <c r="A11" s="25"/>
      <c r="B11" s="35" t="str" cm="1">
        <f t="array" ref="B11">IF(A11="","",SUMPRODUCT((TRIM(SessionData[Thematic Area])=A11)*(SessionData[Participants])))</f>
        <v/>
      </c>
    </row>
    <row r="12" spans="1:2" x14ac:dyDescent="0.35">
      <c r="A12" s="25"/>
      <c r="B12" s="35" t="str" cm="1">
        <f t="array" ref="B12">IF(A12="","",SUMPRODUCT((TRIM(SessionData[Thematic Area])=A12)*(SessionData[Participants])))</f>
        <v/>
      </c>
    </row>
    <row r="13" spans="1:2" x14ac:dyDescent="0.35">
      <c r="A13" s="25"/>
      <c r="B13" s="35" t="str" cm="1">
        <f t="array" ref="B13">IF(A13="","",SUMPRODUCT((TRIM(SessionData[Thematic Area])=A13)*(SessionData[Participants])))</f>
        <v/>
      </c>
    </row>
    <row r="14" spans="1:2" x14ac:dyDescent="0.35">
      <c r="A14" s="25"/>
      <c r="B14" s="35" t="str" cm="1">
        <f t="array" ref="B14">IF(A14="","",SUMPRODUCT((TRIM(SessionData[Thematic Area])=A14)*(SessionData[Participants])))</f>
        <v/>
      </c>
    </row>
    <row r="15" spans="1:2" x14ac:dyDescent="0.35">
      <c r="A15" s="25"/>
      <c r="B15" s="35" t="str" cm="1">
        <f t="array" ref="B15">IF(A15="","",SUMPRODUCT((TRIM(SessionData[Thematic Area])=A15)*(SessionData[Participants])))</f>
        <v/>
      </c>
    </row>
    <row r="16" spans="1:2" x14ac:dyDescent="0.35">
      <c r="A16" s="25"/>
      <c r="B16" s="35" t="str" cm="1">
        <f t="array" ref="B16">IF(A16="","",SUMPRODUCT((TRIM(SessionData[Thematic Area])=A16)*(SessionData[Participants])))</f>
        <v/>
      </c>
    </row>
    <row r="17" spans="1:2" x14ac:dyDescent="0.35">
      <c r="A17" s="25"/>
      <c r="B17" s="35" t="str" cm="1">
        <f t="array" ref="B17">IF(A17="","",SUMPRODUCT((TRIM(SessionData[Thematic Area])=A17)*(SessionData[Participants])))</f>
        <v/>
      </c>
    </row>
    <row r="18" spans="1:2" x14ac:dyDescent="0.35">
      <c r="A18" s="25"/>
      <c r="B18" s="35" t="str" cm="1">
        <f t="array" ref="B18">IF(A18="","",SUMPRODUCT((TRIM(SessionData[Thematic Area])=A18)*(SessionData[Participants])))</f>
        <v/>
      </c>
    </row>
    <row r="19" spans="1:2" x14ac:dyDescent="0.35">
      <c r="A19" s="25"/>
      <c r="B19" s="35" t="str" cm="1">
        <f t="array" ref="B19">IF(A19="","",SUMPRODUCT((TRIM(SessionData[Thematic Area])=A19)*(SessionData[Participants])))</f>
        <v/>
      </c>
    </row>
    <row r="20" spans="1:2" x14ac:dyDescent="0.35">
      <c r="A20" s="25"/>
      <c r="B20" s="35" t="str" cm="1">
        <f t="array" ref="B20">IF(A20="","",SUMPRODUCT((TRIM(SessionData[Thematic Area])=A20)*(SessionData[Participants])))</f>
        <v/>
      </c>
    </row>
    <row r="21" spans="1:2" x14ac:dyDescent="0.35">
      <c r="B21" s="28" t="str" cm="1">
        <f t="array" ref="B21">IF(A21="","",SUMPRODUCT((TRIM(SessionData[Thematic Area])=A21)*(SessionData[Participants])))</f>
        <v/>
      </c>
    </row>
  </sheetData>
  <sheetProtection algorithmName="SHA-512" hashValue="r/gJ1alppcEqEq4EvDr8tr2/nBkWH6HGzZZPNUSU+vcD+BmNbph2T4BPB19a3PTNAiS/1xXMfVEG15Er7faFjQ==" saltValue="EDSUh7Jzs+mo+1YJw50r7Q==" spinCount="100000" sheet="1" objects="1" scenarios="1"/>
  <conditionalFormatting sqref="B3:B8">
    <cfRule type="dataBar" priority="2">
      <dataBar>
        <cfvo type="min"/>
        <cfvo type="max"/>
        <color rgb="FF5B9BD5"/>
      </dataBar>
      <extLst>
        <ext xmlns:x14="http://schemas.microsoft.com/office/spreadsheetml/2009/9/main" uri="{B025F937-C7B1-47D3-B67F-A62EFF666E3E}">
          <x14:id>{4A8260BD-B490-4D1B-919F-8B01E1344CAA}</x14:id>
        </ext>
      </extLst>
    </cfRule>
  </conditionalFormatting>
  <conditionalFormatting sqref="B3:B17">
    <cfRule type="dataBar" priority="1">
      <dataBar>
        <cfvo type="min"/>
        <cfvo type="max"/>
        <color rgb="FFFFB628"/>
      </dataBar>
      <extLst>
        <ext xmlns:x14="http://schemas.microsoft.com/office/spreadsheetml/2009/9/main" uri="{B025F937-C7B1-47D3-B67F-A62EFF666E3E}">
          <x14:id>{0B3694C3-99C5-4EEF-85B3-E97DFD3FED38}</x14:id>
        </ext>
      </extLst>
    </cfRule>
  </conditionalFormatting>
  <pageMargins left="0.75" right="0.75" top="1" bottom="1" header="0.5" footer="0.5"/>
  <drawing r:id="rId1"/>
  <extLst>
    <ext xmlns:x14="http://schemas.microsoft.com/office/spreadsheetml/2009/9/main" uri="{78C0D931-6437-407d-A8EE-F0AAD7539E65}">
      <x14:conditionalFormattings>
        <x14:conditionalFormatting xmlns:xm="http://schemas.microsoft.com/office/excel/2006/main">
          <x14:cfRule type="dataBar" id="{4A8260BD-B490-4D1B-919F-8B01E1344CAA}">
            <x14:dataBar minLength="0" maxLength="100" border="1" direction="leftToRight" negativeBarColorSameAsPositive="1" axisPosition="none">
              <x14:cfvo type="min"/>
              <x14:cfvo type="max"/>
              <x14:borderColor rgb="FF2E75B6"/>
            </x14:dataBar>
          </x14:cfRule>
          <xm:sqref>B3:B8</xm:sqref>
        </x14:conditionalFormatting>
        <x14:conditionalFormatting xmlns:xm="http://schemas.microsoft.com/office/excel/2006/main">
          <x14:cfRule type="dataBar" id="{0B3694C3-99C5-4EEF-85B3-E97DFD3FED38}">
            <x14:dataBar minLength="0" maxLength="100" gradient="0">
              <x14:cfvo type="autoMin"/>
              <x14:cfvo type="autoMax"/>
              <x14:negativeFillColor rgb="FFFF0000"/>
              <x14:axisColor rgb="FF000000"/>
            </x14:dataBar>
          </x14:cfRule>
          <xm:sqref>B3:B17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E19B4-5276-4F9B-928A-E13E980D0DAC}">
  <dimension ref="A1:K21"/>
  <sheetViews>
    <sheetView showGridLines="0" workbookViewId="0">
      <selection activeCell="B7" sqref="B7"/>
    </sheetView>
  </sheetViews>
  <sheetFormatPr defaultRowHeight="14.5" x14ac:dyDescent="0.35"/>
  <cols>
    <col min="1" max="1" width="14.453125" style="11" customWidth="1"/>
    <col min="2" max="2" width="11.7265625" style="11" bestFit="1" customWidth="1"/>
    <col min="3" max="16384" width="8.7265625" style="11"/>
  </cols>
  <sheetData>
    <row r="1" spans="1:11" ht="8.25" customHeight="1" x14ac:dyDescent="0.35">
      <c r="A1" s="58"/>
      <c r="B1" s="58"/>
      <c r="C1" s="58"/>
      <c r="D1" s="58"/>
      <c r="E1" s="58"/>
      <c r="F1" s="58"/>
      <c r="G1" s="58"/>
      <c r="H1" s="58"/>
      <c r="I1" s="58"/>
      <c r="J1" s="58"/>
      <c r="K1" s="58"/>
    </row>
    <row r="2" spans="1:11" ht="20.25" customHeight="1" x14ac:dyDescent="0.35">
      <c r="A2" s="29" t="s">
        <v>98</v>
      </c>
      <c r="B2" s="29" t="s">
        <v>109</v>
      </c>
    </row>
    <row r="3" spans="1:11" x14ac:dyDescent="0.35">
      <c r="A3" s="32" t="e" cm="1" vm="1">
        <f t="array" ref="A3">_xlfn._xlws.SORT(_xlfn.UNIQUE(_xlfn._xlws.FILTER(TRIM(SessionData[Project]), (TRIM(SessionData[Project])&lt;&gt;"")*(TRIM(SessionData[Project])&lt;&gt;"0"))))</f>
        <v>#VALUE!</v>
      </c>
      <c r="B3" s="27" t="e" cm="1" vm="2">
        <f t="array" ref="B3">IF(A3="","",SUMPRODUCT((TRIM(SessionData[Project])=A3)*(SessionData[Participants])))</f>
        <v>#VALUE!</v>
      </c>
    </row>
    <row r="4" spans="1:11" x14ac:dyDescent="0.35">
      <c r="A4" s="30"/>
      <c r="B4" s="27" t="str" cm="1">
        <f t="array" ref="B4">IF(A4="","",SUMPRODUCT((TRIM(SessionData[Project])=A4)*(SessionData[Participants])))</f>
        <v/>
      </c>
    </row>
    <row r="5" spans="1:11" x14ac:dyDescent="0.35">
      <c r="A5" s="30"/>
      <c r="B5" s="27" t="str" cm="1">
        <f t="array" ref="B5">IF(A5="","",SUMPRODUCT((TRIM(SessionData[Project])=A5)*(SessionData[Participants])))</f>
        <v/>
      </c>
    </row>
    <row r="6" spans="1:11" x14ac:dyDescent="0.35">
      <c r="A6" s="30"/>
      <c r="B6" s="27" t="str" cm="1">
        <f t="array" ref="B6">IF(A6="","",SUMPRODUCT((TRIM(SessionData[Project])=A6)*(SessionData[Participants])))</f>
        <v/>
      </c>
    </row>
    <row r="7" spans="1:11" x14ac:dyDescent="0.35">
      <c r="A7" s="30"/>
      <c r="B7" s="27" t="str" cm="1">
        <f t="array" ref="B7">IF(A7="","",SUMPRODUCT((TRIM(SessionData[Project])=A7)*(SessionData[Participants])))</f>
        <v/>
      </c>
    </row>
    <row r="8" spans="1:11" x14ac:dyDescent="0.35">
      <c r="A8" s="30"/>
      <c r="B8" s="27" t="str" cm="1">
        <f t="array" ref="B8">IF(A8="","",SUMPRODUCT((TRIM(SessionData[Project])=A8)*(SessionData[Participants])))</f>
        <v/>
      </c>
    </row>
    <row r="9" spans="1:11" x14ac:dyDescent="0.35">
      <c r="A9" s="31"/>
      <c r="B9" s="33" t="str" cm="1">
        <f t="array" ref="B9">IF(A9="","",SUMPRODUCT((TRIM(SessionData[Project])=A9)*(SessionData[Participants])))</f>
        <v/>
      </c>
    </row>
    <row r="10" spans="1:11" x14ac:dyDescent="0.35">
      <c r="A10" s="31"/>
      <c r="B10" s="33" t="str" cm="1">
        <f t="array" ref="B10">IF(A10="","",SUMPRODUCT((TRIM(SessionData[Project])=A10)*(SessionData[Participants])))</f>
        <v/>
      </c>
    </row>
    <row r="11" spans="1:11" x14ac:dyDescent="0.35">
      <c r="A11" s="31"/>
      <c r="B11" s="33" t="str" cm="1">
        <f t="array" ref="B11">IF(A11="","",SUMPRODUCT((TRIM(SessionData[Project])=A11)*(SessionData[Participants])))</f>
        <v/>
      </c>
    </row>
    <row r="12" spans="1:11" x14ac:dyDescent="0.35">
      <c r="A12" s="31"/>
      <c r="B12" s="33" t="str" cm="1">
        <f t="array" ref="B12">IF(A12="","",SUMPRODUCT((TRIM(SessionData[Project])=A12)*(SessionData[Participants])))</f>
        <v/>
      </c>
    </row>
    <row r="13" spans="1:11" x14ac:dyDescent="0.35">
      <c r="A13" s="31"/>
      <c r="B13" s="33" t="str" cm="1">
        <f t="array" ref="B13">IF(A13="","",SUMPRODUCT((TRIM(SessionData[Project])=A13)*(SessionData[Participants])))</f>
        <v/>
      </c>
    </row>
    <row r="14" spans="1:11" x14ac:dyDescent="0.35">
      <c r="A14" s="31"/>
      <c r="B14" s="33" t="str" cm="1">
        <f t="array" ref="B14">IF(A14="","",SUMPRODUCT((TRIM(SessionData[Project])=A14)*(SessionData[Participants])))</f>
        <v/>
      </c>
    </row>
    <row r="15" spans="1:11" x14ac:dyDescent="0.35">
      <c r="A15" s="31"/>
      <c r="B15" s="33" t="str" cm="1">
        <f t="array" ref="B15">IF(A15="","",SUMPRODUCT((TRIM(SessionData[Project])=A15)*(SessionData[Participants])))</f>
        <v/>
      </c>
    </row>
    <row r="16" spans="1:11" x14ac:dyDescent="0.35">
      <c r="A16" s="31"/>
      <c r="B16" s="33" t="str" cm="1">
        <f t="array" ref="B16">IF(A16="","",SUMPRODUCT((TRIM(SessionData[Project])=A16)*(SessionData[Participants])))</f>
        <v/>
      </c>
    </row>
    <row r="17" spans="1:2" x14ac:dyDescent="0.35">
      <c r="A17" s="31"/>
      <c r="B17" s="33" t="str" cm="1">
        <f t="array" ref="B17">IF(A17="","",SUMPRODUCT((TRIM(SessionData[Project])=A17)*(SessionData[Participants])))</f>
        <v/>
      </c>
    </row>
    <row r="18" spans="1:2" x14ac:dyDescent="0.35">
      <c r="A18" s="31"/>
      <c r="B18" s="33" t="str" cm="1">
        <f t="array" ref="B18">IF(A18="","",SUMPRODUCT((TRIM(SessionData[Project])=A18)*(SessionData[Participants])))</f>
        <v/>
      </c>
    </row>
    <row r="19" spans="1:2" x14ac:dyDescent="0.35">
      <c r="A19" s="31"/>
      <c r="B19" s="33" t="str" cm="1">
        <f t="array" ref="B19">IF(A19="","",SUMPRODUCT((TRIM(SessionData[Project])=A19)*(SessionData[Participants])))</f>
        <v/>
      </c>
    </row>
    <row r="20" spans="1:2" x14ac:dyDescent="0.35">
      <c r="A20" s="31"/>
      <c r="B20" s="33" t="str" cm="1">
        <f t="array" ref="B20">IF(A20="","",SUMPRODUCT((TRIM(SessionData[Project])=A20)*(SessionData[Participants])))</f>
        <v/>
      </c>
    </row>
    <row r="21" spans="1:2" x14ac:dyDescent="0.35">
      <c r="A21" s="31"/>
      <c r="B21" s="33" t="str" cm="1">
        <f t="array" ref="B21">IF(A21="","",SUMPRODUCT((TRIM(SessionData[Project])=A21)*(SessionData[Participants])))</f>
        <v/>
      </c>
    </row>
  </sheetData>
  <sheetProtection algorithmName="SHA-512" hashValue="QeKqIrzyldP2ZKQlldbrkJcchWDslJytAWsEAcOUVrW1WTWPYdQNg+fT3y9F5CSttBh58EexRjXq8ZjZUNLj7A==" saltValue="TWNti/AKWc1XBw/q0t9YUg==" spinCount="100000" sheet="1" objects="1" scenarios="1"/>
  <mergeCells count="1">
    <mergeCell ref="A1:K1"/>
  </mergeCells>
  <conditionalFormatting sqref="B3:B15">
    <cfRule type="dataBar" priority="1">
      <dataBar>
        <cfvo type="min"/>
        <cfvo type="max"/>
        <color rgb="FF638EC6"/>
      </dataBar>
      <extLst>
        <ext xmlns:x14="http://schemas.microsoft.com/office/spreadsheetml/2009/9/main" uri="{B025F937-C7B1-47D3-B67F-A62EFF666E3E}">
          <x14:id>{09FB0A8C-9AA8-4A93-A4C0-A568C9E09A6C}</x14:id>
        </ext>
      </extLst>
    </cfRule>
  </conditionalFormatting>
  <conditionalFormatting sqref="B3:B21">
    <cfRule type="dataBar" priority="2">
      <dataBar>
        <cfvo type="min"/>
        <cfvo type="max"/>
        <color rgb="FF5B9BD5"/>
      </dataBar>
      <extLst>
        <ext xmlns:x14="http://schemas.microsoft.com/office/spreadsheetml/2009/9/main" uri="{B025F937-C7B1-47D3-B67F-A62EFF666E3E}">
          <x14:id>{6A6F7636-3BA5-4690-8540-C2C0F64A2BCD}</x14:id>
        </ext>
      </extLst>
    </cfRule>
  </conditionalFormatting>
  <pageMargins left="0.75" right="0.75" top="1" bottom="1" header="0.5" footer="0.5"/>
  <drawing r:id="rId1"/>
  <extLst>
    <ext xmlns:x14="http://schemas.microsoft.com/office/spreadsheetml/2009/9/main" uri="{78C0D931-6437-407d-A8EE-F0AAD7539E65}">
      <x14:conditionalFormattings>
        <x14:conditionalFormatting xmlns:xm="http://schemas.microsoft.com/office/excel/2006/main">
          <x14:cfRule type="dataBar" id="{09FB0A8C-9AA8-4A93-A4C0-A568C9E09A6C}">
            <x14:dataBar minLength="0" maxLength="100" border="1" negativeBarBorderColorSameAsPositive="0">
              <x14:cfvo type="autoMin"/>
              <x14:cfvo type="autoMax"/>
              <x14:borderColor rgb="FF638EC6"/>
              <x14:negativeFillColor rgb="FFFF0000"/>
              <x14:negativeBorderColor rgb="FFFF0000"/>
              <x14:axisColor rgb="FF000000"/>
            </x14:dataBar>
          </x14:cfRule>
          <xm:sqref>B3:B15</xm:sqref>
        </x14:conditionalFormatting>
        <x14:conditionalFormatting xmlns:xm="http://schemas.microsoft.com/office/excel/2006/main">
          <x14:cfRule type="dataBar" id="{6A6F7636-3BA5-4690-8540-C2C0F64A2BCD}">
            <x14:dataBar minLength="0" maxLength="100" border="1" direction="leftToRight" negativeBarColorSameAsPositive="1" axisPosition="none">
              <x14:cfvo type="min"/>
              <x14:cfvo type="max"/>
              <x14:borderColor rgb="FF2E75B6"/>
            </x14:dataBar>
          </x14:cfRule>
          <xm:sqref>B3:B21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1"/>
  <sheetViews>
    <sheetView showGridLines="0" workbookViewId="0">
      <selection activeCell="B5" sqref="B5"/>
    </sheetView>
  </sheetViews>
  <sheetFormatPr defaultRowHeight="14.5" x14ac:dyDescent="0.35"/>
  <cols>
    <col min="1" max="2" width="11.7265625" style="11" bestFit="1" customWidth="1"/>
    <col min="3" max="16384" width="8.7265625" style="11"/>
  </cols>
  <sheetData>
    <row r="1" spans="1:10" ht="8.25" customHeight="1" x14ac:dyDescent="0.35">
      <c r="A1" s="58"/>
      <c r="B1" s="58"/>
      <c r="C1" s="58"/>
      <c r="D1" s="58"/>
      <c r="E1" s="58"/>
      <c r="F1" s="58"/>
      <c r="G1" s="58"/>
      <c r="H1" s="58"/>
      <c r="I1" s="58"/>
      <c r="J1" s="58"/>
    </row>
    <row r="2" spans="1:10" x14ac:dyDescent="0.35">
      <c r="A2" s="24" t="s">
        <v>97</v>
      </c>
      <c r="B2" s="24" t="s">
        <v>109</v>
      </c>
    </row>
    <row r="3" spans="1:10" x14ac:dyDescent="0.35">
      <c r="A3" s="26" t="e" cm="1" vm="1">
        <f t="array" ref="A3">_xlfn._xlws.SORT(_xlfn.UNIQUE(_xlfn._xlws.FILTER(TRIM(SessionData[Age Group]), (TRIM(SessionData[Age Group])&lt;&gt;"")*(TRIM(SessionData[Age Group])&lt;&gt;"0"))))</f>
        <v>#VALUE!</v>
      </c>
      <c r="B3" s="27" t="e" cm="1" vm="2">
        <f t="array" ref="B3">IF(A3="","",SUMPRODUCT((TRIM(SessionData[Age Group])=A3)*(SessionData[Participants])))</f>
        <v>#VALUE!</v>
      </c>
    </row>
    <row r="4" spans="1:10" x14ac:dyDescent="0.35">
      <c r="A4" s="25"/>
      <c r="B4" s="27" t="str" cm="1">
        <f t="array" ref="B4">IF(A4="","",SUMPRODUCT((TRIM(SessionData[Age Group])=A4)*(SessionData[Participants])))</f>
        <v/>
      </c>
    </row>
    <row r="5" spans="1:10" x14ac:dyDescent="0.35">
      <c r="A5" s="25"/>
      <c r="B5" s="27" t="str" cm="1">
        <f t="array" ref="B5">IF(A5="","",SUMPRODUCT((TRIM(SessionData[Age Group])=A5)*(SessionData[Participants])))</f>
        <v/>
      </c>
    </row>
    <row r="6" spans="1:10" x14ac:dyDescent="0.35">
      <c r="B6" s="28" t="str" cm="1">
        <f t="array" ref="B6">IF(A6="","",SUMPRODUCT((TRIM(SessionData[Age Group])=A6)*(SessionData[Participants])))</f>
        <v/>
      </c>
    </row>
    <row r="7" spans="1:10" x14ac:dyDescent="0.35">
      <c r="B7" s="28" t="str" cm="1">
        <f t="array" ref="B7">IF(A7="","",SUMPRODUCT((TRIM(SessionData[Age Group])=A7)*(SessionData[Participants])))</f>
        <v/>
      </c>
    </row>
    <row r="8" spans="1:10" x14ac:dyDescent="0.35">
      <c r="B8" s="28" t="str" cm="1">
        <f t="array" ref="B8">IF(A8="","",SUMPRODUCT((TRIM(SessionData[Age Group])=A8)*(SessionData[Participants])))</f>
        <v/>
      </c>
    </row>
    <row r="9" spans="1:10" x14ac:dyDescent="0.35">
      <c r="B9" s="28" t="str" cm="1">
        <f t="array" ref="B9">IF(A9="","",SUMPRODUCT((TRIM(SessionData[Age Group])=A9)*(SessionData[Participants])))</f>
        <v/>
      </c>
    </row>
    <row r="10" spans="1:10" x14ac:dyDescent="0.35">
      <c r="B10" s="28" t="str" cm="1">
        <f t="array" ref="B10">IF(A10="","",SUMPRODUCT((TRIM(SessionData[Age Group])=A10)*(SessionData[Participants])))</f>
        <v/>
      </c>
    </row>
    <row r="11" spans="1:10" x14ac:dyDescent="0.35">
      <c r="B11" s="28" t="str" cm="1">
        <f t="array" ref="B11">IF(A11="","",SUMPRODUCT((TRIM(SessionData[Age Group])=A11)*(SessionData[Participants])))</f>
        <v/>
      </c>
    </row>
    <row r="12" spans="1:10" x14ac:dyDescent="0.35">
      <c r="B12" s="28" t="str" cm="1">
        <f t="array" ref="B12">IF(A12="","",SUMPRODUCT((TRIM(SessionData[Age Group])=A12)*(SessionData[Participants])))</f>
        <v/>
      </c>
    </row>
    <row r="13" spans="1:10" x14ac:dyDescent="0.35">
      <c r="B13" s="28" t="str" cm="1">
        <f t="array" ref="B13">IF(A13="","",SUMPRODUCT((TRIM(SessionData[Age Group])=A13)*(SessionData[Participants])))</f>
        <v/>
      </c>
    </row>
    <row r="14" spans="1:10" x14ac:dyDescent="0.35">
      <c r="B14" s="28" t="str" cm="1">
        <f t="array" ref="B14">IF(A14="","",SUMPRODUCT((TRIM(SessionData[Age Group])=A14)*(SessionData[Participants])))</f>
        <v/>
      </c>
    </row>
    <row r="15" spans="1:10" x14ac:dyDescent="0.35">
      <c r="B15" s="28" t="str" cm="1">
        <f t="array" ref="B15">IF(A15="","",SUMPRODUCT((TRIM(SessionData[Age Group])=A15)*(SessionData[Participants])))</f>
        <v/>
      </c>
    </row>
    <row r="16" spans="1:10" x14ac:dyDescent="0.35">
      <c r="B16" s="28" t="str" cm="1">
        <f t="array" ref="B16">IF(A16="","",SUMPRODUCT((TRIM(SessionData[Age Group])=A16)*(SessionData[Participants])))</f>
        <v/>
      </c>
    </row>
    <row r="17" spans="2:2" x14ac:dyDescent="0.35">
      <c r="B17" s="28" t="str" cm="1">
        <f t="array" ref="B17">IF(A17="","",SUMPRODUCT((TRIM(SessionData[Age Group])=A17)*(SessionData[Participants])))</f>
        <v/>
      </c>
    </row>
    <row r="18" spans="2:2" x14ac:dyDescent="0.35">
      <c r="B18" s="28" t="str" cm="1">
        <f t="array" ref="B18">IF(A18="","",SUMPRODUCT((TRIM(SessionData[Age Group])=A18)*(SessionData[Participants])))</f>
        <v/>
      </c>
    </row>
    <row r="19" spans="2:2" x14ac:dyDescent="0.35">
      <c r="B19" s="28" t="str" cm="1">
        <f t="array" ref="B19">IF(A19="","",SUMPRODUCT((TRIM(SessionData[Age Group])=A19)*(SessionData[Participants])))</f>
        <v/>
      </c>
    </row>
    <row r="20" spans="2:2" x14ac:dyDescent="0.35">
      <c r="B20" s="28" t="str" cm="1">
        <f t="array" ref="B20">IF(A20="","",SUMPRODUCT((TRIM(SessionData[Age Group])=A20)*(SessionData[Participants])))</f>
        <v/>
      </c>
    </row>
    <row r="21" spans="2:2" x14ac:dyDescent="0.35">
      <c r="B21" s="28" t="str" cm="1">
        <f t="array" ref="B21">IF(A21="","",SUMPRODUCT((TRIM(SessionData[Age Group])=A21)*(SessionData[Participants])))</f>
        <v/>
      </c>
    </row>
  </sheetData>
  <sheetProtection algorithmName="SHA-512" hashValue="1rI9Hx/t/Ffw5FeFYNk7JEThmc8ulJNyBy1VsLRPnh5UraFcIcpgqRGoivD4oK3tppuHRKnzwpN2i2QHHSmJ2Q==" saltValue="UwzfoA+L70rLRgqdw9/9CA==" spinCount="100000" sheet="1" objects="1" scenarios="1"/>
  <mergeCells count="1">
    <mergeCell ref="A1:J1"/>
  </mergeCells>
  <conditionalFormatting sqref="B3">
    <cfRule type="dataBar" priority="4">
      <dataBar>
        <cfvo type="min"/>
        <cfvo type="max"/>
        <color rgb="FF5B9BD5"/>
      </dataBar>
      <extLst>
        <ext xmlns:x14="http://schemas.microsoft.com/office/spreadsheetml/2009/9/main" uri="{B025F937-C7B1-47D3-B67F-A62EFF666E3E}">
          <x14:id>{0FBFDEAE-466D-4D2E-AFAF-DEC5BA2DD2B1}</x14:id>
        </ext>
      </extLst>
    </cfRule>
  </conditionalFormatting>
  <conditionalFormatting sqref="B3:B5">
    <cfRule type="dataBar" priority="1">
      <dataBar>
        <cfvo type="min"/>
        <cfvo type="max"/>
        <color rgb="FFD6007B"/>
      </dataBar>
      <extLst>
        <ext xmlns:x14="http://schemas.microsoft.com/office/spreadsheetml/2009/9/main" uri="{B025F937-C7B1-47D3-B67F-A62EFF666E3E}">
          <x14:id>{A17E7A45-444A-485B-A754-04D60EC132E6}</x14:id>
        </ext>
      </extLst>
    </cfRule>
  </conditionalFormatting>
  <conditionalFormatting sqref="B4">
    <cfRule type="dataBar" priority="3">
      <dataBar>
        <cfvo type="min"/>
        <cfvo type="max"/>
        <color rgb="FF5B9BD5"/>
      </dataBar>
      <extLst>
        <ext xmlns:x14="http://schemas.microsoft.com/office/spreadsheetml/2009/9/main" uri="{B025F937-C7B1-47D3-B67F-A62EFF666E3E}">
          <x14:id>{9FD6DAD4-C6F0-4220-B079-33D555D5F1D3}</x14:id>
        </ext>
      </extLst>
    </cfRule>
  </conditionalFormatting>
  <conditionalFormatting sqref="B5">
    <cfRule type="dataBar" priority="2">
      <dataBar>
        <cfvo type="min"/>
        <cfvo type="max"/>
        <color rgb="FF5B9BD5"/>
      </dataBar>
      <extLst>
        <ext xmlns:x14="http://schemas.microsoft.com/office/spreadsheetml/2009/9/main" uri="{B025F937-C7B1-47D3-B67F-A62EFF666E3E}">
          <x14:id>{2CF139AA-DA31-4439-B7F3-3A300846569B}</x14:id>
        </ext>
      </extLst>
    </cfRule>
  </conditionalFormatting>
  <pageMargins left="0.75" right="0.75" top="1" bottom="1" header="0.5" footer="0.5"/>
  <drawing r:id="rId1"/>
  <extLst>
    <ext xmlns:x14="http://schemas.microsoft.com/office/spreadsheetml/2009/9/main" uri="{78C0D931-6437-407d-A8EE-F0AAD7539E65}">
      <x14:conditionalFormattings>
        <x14:conditionalFormatting xmlns:xm="http://schemas.microsoft.com/office/excel/2006/main">
          <x14:cfRule type="dataBar" id="{0FBFDEAE-466D-4D2E-AFAF-DEC5BA2DD2B1}">
            <x14:dataBar minLength="0" maxLength="100" border="1" direction="leftToRight" negativeBarColorSameAsPositive="1" axisPosition="none">
              <x14:cfvo type="min"/>
              <x14:cfvo type="max"/>
              <x14:borderColor rgb="FF2E75B6"/>
            </x14:dataBar>
          </x14:cfRule>
          <xm:sqref>B3</xm:sqref>
        </x14:conditionalFormatting>
        <x14:conditionalFormatting xmlns:xm="http://schemas.microsoft.com/office/excel/2006/main">
          <x14:cfRule type="dataBar" id="{A17E7A45-444A-485B-A754-04D60EC132E6}">
            <x14:dataBar minLength="0" maxLength="100" border="1" negativeBarBorderColorSameAsPositive="0">
              <x14:cfvo type="autoMin"/>
              <x14:cfvo type="autoMax"/>
              <x14:borderColor rgb="FFD6007B"/>
              <x14:negativeFillColor rgb="FFFF0000"/>
              <x14:negativeBorderColor rgb="FFFF0000"/>
              <x14:axisColor rgb="FF000000"/>
            </x14:dataBar>
          </x14:cfRule>
          <xm:sqref>B3:B5</xm:sqref>
        </x14:conditionalFormatting>
        <x14:conditionalFormatting xmlns:xm="http://schemas.microsoft.com/office/excel/2006/main">
          <x14:cfRule type="dataBar" id="{9FD6DAD4-C6F0-4220-B079-33D555D5F1D3}">
            <x14:dataBar minLength="0" maxLength="100" border="1" direction="leftToRight" negativeBarColorSameAsPositive="1" axisPosition="none">
              <x14:cfvo type="min"/>
              <x14:cfvo type="max"/>
              <x14:borderColor rgb="FF2E75B6"/>
            </x14:dataBar>
          </x14:cfRule>
          <xm:sqref>B4</xm:sqref>
        </x14:conditionalFormatting>
        <x14:conditionalFormatting xmlns:xm="http://schemas.microsoft.com/office/excel/2006/main">
          <x14:cfRule type="dataBar" id="{2CF139AA-DA31-4439-B7F3-3A300846569B}">
            <x14:dataBar minLength="0" maxLength="100" border="1" direction="leftToRight" negativeBarColorSameAsPositive="1" axisPosition="none">
              <x14:cfvo type="min"/>
              <x14:cfvo type="max"/>
              <x14:borderColor rgb="FF2E75B6"/>
            </x14:dataBar>
          </x14:cfRule>
          <xm:sqref>B5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18"/>
  <sheetViews>
    <sheetView topLeftCell="A93" workbookViewId="0">
      <selection activeCell="A79" sqref="A79"/>
    </sheetView>
  </sheetViews>
  <sheetFormatPr defaultRowHeight="14.5" x14ac:dyDescent="0.35"/>
  <cols>
    <col min="1" max="1" width="104.7265625" style="11" customWidth="1"/>
    <col min="2" max="6" width="1.81640625" style="11" hidden="1" customWidth="1"/>
    <col min="7" max="16384" width="8.7265625" style="11"/>
  </cols>
  <sheetData>
    <row r="1" spans="1:1" ht="35.25" customHeight="1" x14ac:dyDescent="0.6">
      <c r="A1" s="10" t="s">
        <v>179</v>
      </c>
    </row>
    <row r="2" spans="1:1" ht="24.75" customHeight="1" x14ac:dyDescent="0.45">
      <c r="A2" s="12" t="s">
        <v>129</v>
      </c>
    </row>
    <row r="3" spans="1:1" ht="9.75" customHeight="1" thickBot="1" x14ac:dyDescent="0.4">
      <c r="A3" s="13"/>
    </row>
    <row r="4" spans="1:1" ht="15" thickTop="1" x14ac:dyDescent="0.35">
      <c r="A4" s="14"/>
    </row>
    <row r="5" spans="1:1" ht="15.5" x14ac:dyDescent="0.35">
      <c r="A5" s="15" t="s">
        <v>130</v>
      </c>
    </row>
    <row r="6" spans="1:1" ht="20.25" customHeight="1" x14ac:dyDescent="0.35">
      <c r="A6" s="21" t="str">
        <f ca="1">TEXT(TODAY(),"MMMM YYYY")</f>
        <v>August 2026</v>
      </c>
    </row>
    <row r="7" spans="1:1" x14ac:dyDescent="0.35">
      <c r="A7" s="16"/>
    </row>
    <row r="8" spans="1:1" ht="24.75" customHeight="1" x14ac:dyDescent="0.4">
      <c r="A8" s="17" t="s">
        <v>131</v>
      </c>
    </row>
    <row r="9" spans="1:1" ht="50.25" customHeight="1" x14ac:dyDescent="0.35">
      <c r="A9" s="22" t="str">
        <f>"During the reporting period, community outreach sessions were conducted across Fako Division targeting Internally Displaced Persons (IDPs), host communities, women, men, girls and boys. A total of "&amp;Dashboard!C3&amp;" sessions reached "&amp;Dashboard!C2&amp;" participants across multiple communities and thematic areas."</f>
        <v>During the reporting period, community outreach sessions were conducted across Fako Division targeting Internally Displaced Persons (IDPs), host communities, women, men, girls and boys. A total of 0 sessions reached 0 participants across multiple communities and thematic areas.</v>
      </c>
    </row>
    <row r="10" spans="1:1" x14ac:dyDescent="0.35">
      <c r="A10" s="16"/>
    </row>
    <row r="11" spans="1:1" ht="24.75" customHeight="1" x14ac:dyDescent="0.4">
      <c r="A11" s="17" t="s">
        <v>132</v>
      </c>
    </row>
    <row r="12" spans="1:1" x14ac:dyDescent="0.35">
      <c r="A12" s="21" t="str">
        <f>"• Total Sessions Conducted: "&amp;Dashboard!C3</f>
        <v>• Total Sessions Conducted: 0</v>
      </c>
    </row>
    <row r="13" spans="1:1" x14ac:dyDescent="0.35">
      <c r="A13" s="21" t="str">
        <f>"• Total Participants Reached: "&amp;Dashboard!C2</f>
        <v>• Total Participants Reached: 0</v>
      </c>
    </row>
    <row r="14" spans="1:1" x14ac:dyDescent="0.35">
      <c r="A14" s="21" t="e">
        <f>"• Male Participants: "&amp;Weekly_Monthly_Summary!E3&amp;" ("&amp;TEXT(Weekly_Monthly_Summary!E3/Dashboard!C2,"0%")&amp;")"</f>
        <v>#DIV/0!</v>
      </c>
    </row>
    <row r="15" spans="1:1" x14ac:dyDescent="0.35">
      <c r="A15" s="21" t="e">
        <f>"• Female Participants: "&amp;Weekly_Monthly_Summary!E4&amp;" ("&amp;TEXT(Weekly_Monthly_Summary!E4/Dashboard!C2,"0%")&amp;")"</f>
        <v>#DIV/0!</v>
      </c>
    </row>
    <row r="16" spans="1:1" x14ac:dyDescent="0.35">
      <c r="A16" s="16"/>
    </row>
    <row r="17" spans="1:1" ht="24.75" customHeight="1" x14ac:dyDescent="0.4">
      <c r="A17" s="17" t="s">
        <v>133</v>
      </c>
    </row>
    <row r="18" spans="1:1" x14ac:dyDescent="0.35">
      <c r="A18" s="21" t="str">
        <f>"Sessions were conducted in the following communities:"</f>
        <v>Sessions were conducted in the following communities:</v>
      </c>
    </row>
    <row r="19" spans="1:1" x14ac:dyDescent="0.35">
      <c r="A19" s="21" t="e" vm="2">
        <f>"    • "&amp;Pivot_Community!A3&amp;": "&amp;Pivot_Community!B3&amp;" participants"</f>
        <v>#VALUE!</v>
      </c>
    </row>
    <row r="20" spans="1:1" x14ac:dyDescent="0.35">
      <c r="A20" s="21" t="str">
        <f>"    • "&amp;Pivot_Community!A4&amp;": "&amp;Pivot_Community!B4&amp;" participants"</f>
        <v xml:space="preserve">    • :  participants</v>
      </c>
    </row>
    <row r="21" spans="1:1" x14ac:dyDescent="0.35">
      <c r="A21" s="21" t="str">
        <f>"    • "&amp;Pivot_Community!A5&amp;": "&amp;Pivot_Community!B5&amp;" participants"</f>
        <v xml:space="preserve">    • :  participants</v>
      </c>
    </row>
    <row r="22" spans="1:1" x14ac:dyDescent="0.35">
      <c r="A22" s="21" t="str">
        <f>"    • "&amp;Pivot_Community!A6&amp;": "&amp;Pivot_Community!B6&amp;" participants"</f>
        <v xml:space="preserve">    • :  participants</v>
      </c>
    </row>
    <row r="23" spans="1:1" x14ac:dyDescent="0.35">
      <c r="A23" s="21" t="str">
        <f>"    • "&amp;Pivot_Community!A7&amp;": "&amp;Pivot_Community!B7&amp;" participants"</f>
        <v xml:space="preserve">    • :  participants</v>
      </c>
    </row>
    <row r="24" spans="1:1" x14ac:dyDescent="0.35">
      <c r="A24" s="21" t="str">
        <f>"    • "&amp;Pivot_Community!A8&amp;": "&amp;Pivot_Community!B8&amp;" participants"</f>
        <v xml:space="preserve">    • :  participants</v>
      </c>
    </row>
    <row r="25" spans="1:1" x14ac:dyDescent="0.35">
      <c r="A25" s="21" t="str">
        <f>"    • "&amp;Pivot_Community!A9&amp;": "&amp;Pivot_Community!B9&amp;" participants"</f>
        <v xml:space="preserve">    • :  participants</v>
      </c>
    </row>
    <row r="26" spans="1:1" x14ac:dyDescent="0.35">
      <c r="A26" s="21" t="str">
        <f>"    • "&amp;Pivot_Community!A10&amp;": "&amp;Pivot_Community!B10&amp;" participants"</f>
        <v xml:space="preserve">    • :  participants</v>
      </c>
    </row>
    <row r="27" spans="1:1" x14ac:dyDescent="0.35">
      <c r="A27" s="21" t="str">
        <f>"    • "&amp;Pivot_Community!A11&amp;": "&amp;Pivot_Community!B11&amp;" participants"</f>
        <v xml:space="preserve">    • :  participants</v>
      </c>
    </row>
    <row r="28" spans="1:1" x14ac:dyDescent="0.35">
      <c r="A28" s="21" t="str">
        <f>"    • "&amp;Pivot_Community!A12&amp;": "&amp;Pivot_Community!B12&amp;" participants"</f>
        <v xml:space="preserve">    • :  participants</v>
      </c>
    </row>
    <row r="29" spans="1:1" x14ac:dyDescent="0.35">
      <c r="A29" s="21" t="str">
        <f>"    • "&amp;Pivot_Community!A13&amp;": "&amp;Pivot_Community!B13&amp;" participants"</f>
        <v xml:space="preserve">    • :  participants</v>
      </c>
    </row>
    <row r="30" spans="1:1" x14ac:dyDescent="0.35">
      <c r="A30" s="21" t="str">
        <f>"    • "&amp;Pivot_Community!A14&amp;": "&amp;Pivot_Community!B14&amp;" participants"</f>
        <v xml:space="preserve">    • :  participants</v>
      </c>
    </row>
    <row r="31" spans="1:1" x14ac:dyDescent="0.35">
      <c r="A31" s="21" t="str">
        <f>"    • "&amp;Pivot_Community!A15&amp;": "&amp;Pivot_Community!B15&amp;" participants"</f>
        <v xml:space="preserve">    • :  participants</v>
      </c>
    </row>
    <row r="32" spans="1:1" x14ac:dyDescent="0.35">
      <c r="A32" s="21" t="str">
        <f>"    • "&amp;Pivot_Community!A16&amp;": "&amp;Pivot_Community!B16&amp;" participants"</f>
        <v xml:space="preserve">    • :  participants</v>
      </c>
    </row>
    <row r="33" spans="1:1" x14ac:dyDescent="0.35">
      <c r="A33" s="21" t="str">
        <f>"    • "&amp;Pivot_Community!A17&amp;": "&amp;Pivot_Community!B17&amp;" participants"</f>
        <v xml:space="preserve">    • :  participants</v>
      </c>
    </row>
    <row r="34" spans="1:1" x14ac:dyDescent="0.35">
      <c r="A34" s="21" t="str">
        <f>"    • "&amp;Pivot_Community!A18&amp;": "&amp;Pivot_Community!B18&amp;" participants"</f>
        <v xml:space="preserve">    • :  participants</v>
      </c>
    </row>
    <row r="35" spans="1:1" x14ac:dyDescent="0.35">
      <c r="A35" s="21" t="str">
        <f>"    • "&amp;Pivot_Community!A19&amp;": "&amp;Pivot_Community!B19&amp;" participants"</f>
        <v xml:space="preserve">    • :  participants</v>
      </c>
    </row>
    <row r="36" spans="1:1" x14ac:dyDescent="0.35">
      <c r="A36" s="21" t="str">
        <f>"    • "&amp;Pivot_Community!A20&amp;": "&amp;Pivot_Community!B20&amp;" participants"</f>
        <v xml:space="preserve">    • :  participants</v>
      </c>
    </row>
    <row r="37" spans="1:1" x14ac:dyDescent="0.35">
      <c r="A37" s="21" t="str">
        <f>"    • "&amp;Pivot_Community!A21&amp;": "&amp;Pivot_Community!B21&amp;" participants"</f>
        <v xml:space="preserve">    • :  participants</v>
      </c>
    </row>
    <row r="38" spans="1:1" x14ac:dyDescent="0.35">
      <c r="A38" s="21" t="str">
        <f>"    • "&amp;Pivot_Community!A22&amp;": "&amp;Pivot_Community!B22&amp;" participants"</f>
        <v xml:space="preserve">    • :  participants</v>
      </c>
    </row>
    <row r="39" spans="1:1" x14ac:dyDescent="0.35">
      <c r="A39" s="21" t="str">
        <f>"    • "&amp;Pivot_Community!A23&amp;": "&amp;Pivot_Community!B23&amp;" participants"</f>
        <v xml:space="preserve">    • :  participants</v>
      </c>
    </row>
    <row r="40" spans="1:1" x14ac:dyDescent="0.35">
      <c r="A40" s="21" t="str">
        <f>"    • "&amp;Pivot_Community!A24&amp;": "&amp;Pivot_Community!B24&amp;" participants"</f>
        <v xml:space="preserve">    • :  participants</v>
      </c>
    </row>
    <row r="41" spans="1:1" x14ac:dyDescent="0.35">
      <c r="A41" s="16"/>
    </row>
    <row r="42" spans="1:1" ht="24.75" customHeight="1" x14ac:dyDescent="0.4">
      <c r="A42" s="17" t="s">
        <v>134</v>
      </c>
    </row>
    <row r="43" spans="1:1" x14ac:dyDescent="0.35">
      <c r="A43" s="21" t="str">
        <f>"Sessions addressed the following thematic areas:"</f>
        <v>Sessions addressed the following thematic areas:</v>
      </c>
    </row>
    <row r="44" spans="1:1" x14ac:dyDescent="0.35">
      <c r="A44" s="21" t="e" vm="2">
        <f>"    • "&amp;Pivot_Thematic!A3&amp;": "&amp;Pivot_Thematic!B3&amp;" participants"</f>
        <v>#VALUE!</v>
      </c>
    </row>
    <row r="45" spans="1:1" x14ac:dyDescent="0.35">
      <c r="A45" s="21" t="str">
        <f>"    • "&amp;Pivot_Thematic!A4&amp;": "&amp;Pivot_Thematic!B4&amp;" participants"</f>
        <v xml:space="preserve">    • :  participants</v>
      </c>
    </row>
    <row r="46" spans="1:1" x14ac:dyDescent="0.35">
      <c r="A46" s="21" t="str">
        <f>"    • "&amp;Pivot_Thematic!A5&amp;": "&amp;Pivot_Thematic!B5&amp;" participants"</f>
        <v xml:space="preserve">    • :  participants</v>
      </c>
    </row>
    <row r="47" spans="1:1" x14ac:dyDescent="0.35">
      <c r="A47" s="16"/>
    </row>
    <row r="48" spans="1:1" ht="24.75" customHeight="1" x14ac:dyDescent="0.4">
      <c r="A48" s="17" t="s">
        <v>135</v>
      </c>
    </row>
    <row r="49" spans="1:1" x14ac:dyDescent="0.35">
      <c r="A49" s="21" t="str">
        <f>"Participants were distributed across the following age groups:"</f>
        <v>Participants were distributed across the following age groups:</v>
      </c>
    </row>
    <row r="50" spans="1:1" x14ac:dyDescent="0.35">
      <c r="A50" s="21" t="e" vm="2">
        <f>"    • "&amp;Pivot_Age_Group!A3&amp;": "&amp;Pivot_Age_Group!B3&amp;" participants ("&amp;TEXT(Pivot_Age_Group!B3/Dashboard!C2,"0%")&amp;")"</f>
        <v>#VALUE!</v>
      </c>
    </row>
    <row r="51" spans="1:1" x14ac:dyDescent="0.35">
      <c r="A51" s="21" t="e">
        <f>"    • "&amp;Pivot_Age_Group!A4&amp;": "&amp;Pivot_Age_Group!B4&amp;" participants ("&amp;TEXT(Pivot_Age_Group!B4/Dashboard!C2,"0%")&amp;")"</f>
        <v>#VALUE!</v>
      </c>
    </row>
    <row r="52" spans="1:1" x14ac:dyDescent="0.35">
      <c r="A52" s="21" t="e">
        <f>"    • "&amp;Pivot_Age_Group!A5&amp;": "&amp;Pivot_Age_Group!B5&amp;" participants ("&amp;TEXT(Pivot_Age_Group!B5/Dashboard!C2,"0%")&amp;")"</f>
        <v>#VALUE!</v>
      </c>
    </row>
    <row r="53" spans="1:1" x14ac:dyDescent="0.35">
      <c r="A53" s="16"/>
    </row>
    <row r="54" spans="1:1" ht="24.75" customHeight="1" x14ac:dyDescent="0.4">
      <c r="A54" s="17" t="s">
        <v>136</v>
      </c>
    </row>
    <row r="55" spans="1:1" x14ac:dyDescent="0.35">
      <c r="A55" s="21" t="str">
        <f>"The following vulnerable and key populations were reached:"</f>
        <v>The following vulnerable and key populations were reached:</v>
      </c>
    </row>
    <row r="56" spans="1:1" x14ac:dyDescent="0.35">
      <c r="A56" s="21" t="str">
        <f>"    • Sex Workers: "&amp;Weekly_Monthly_Summary!E8&amp;" participants"</f>
        <v xml:space="preserve">    • Sex Workers: 0 participants</v>
      </c>
    </row>
    <row r="57" spans="1:1" x14ac:dyDescent="0.35">
      <c r="A57" s="21" t="str">
        <f>"    • Gender Minorities: "&amp;Weekly_Monthly_Summary!E9&amp;" participants"</f>
        <v xml:space="preserve">    • Gender Minorities: 0 participants</v>
      </c>
    </row>
    <row r="58" spans="1:1" x14ac:dyDescent="0.35">
      <c r="A58" s="21" t="str">
        <f>"    • Internally Displaced Persons (IDPs): "&amp;Weekly_Monthly_Summary!E10&amp;" participants"</f>
        <v xml:space="preserve">    • Internally Displaced Persons (IDPs): 0 participants</v>
      </c>
    </row>
    <row r="59" spans="1:1" x14ac:dyDescent="0.35">
      <c r="A59" s="21" t="str">
        <f>"    • Persons with Disabilities: "&amp;Weekly_Monthly_Summary!E11&amp;" participants"</f>
        <v xml:space="preserve">    • Persons with Disabilities: 0 participants</v>
      </c>
    </row>
    <row r="60" spans="1:1" x14ac:dyDescent="0.35">
      <c r="A60" s="21" t="str">
        <f>"    • Adolescent Girls and Young Women (AGYW): "&amp;Weekly_Monthly_Summary!E12&amp;" participants"</f>
        <v xml:space="preserve">    • Adolescent Girls and Young Women (AGYW): 0 participants</v>
      </c>
    </row>
    <row r="61" spans="1:1" x14ac:dyDescent="0.35">
      <c r="A61" s="21" t="str">
        <f>"    • Adolescent and Young Boys and Men (AYBM): "&amp;Weekly_Monthly_Summary!E13&amp;" participants"</f>
        <v xml:space="preserve">    • Adolescent and Young Boys and Men (AYBM): 0 participants</v>
      </c>
    </row>
    <row r="62" spans="1:1" x14ac:dyDescent="0.35">
      <c r="A62" s="16"/>
    </row>
    <row r="63" spans="1:1" ht="24.75" customHeight="1" x14ac:dyDescent="0.4">
      <c r="A63" s="17" t="s">
        <v>137</v>
      </c>
    </row>
    <row r="64" spans="1:1" ht="69.75" customHeight="1" x14ac:dyDescent="0.35">
      <c r="A64" s="16" t="s">
        <v>138</v>
      </c>
    </row>
    <row r="65" spans="1:1" x14ac:dyDescent="0.35">
      <c r="A65" s="16" t="s">
        <v>139</v>
      </c>
    </row>
    <row r="66" spans="1:1" ht="9.75" customHeight="1" x14ac:dyDescent="0.35">
      <c r="A66" s="16" t="s">
        <v>140</v>
      </c>
    </row>
    <row r="67" spans="1:1" x14ac:dyDescent="0.35">
      <c r="A67" s="16" t="s">
        <v>141</v>
      </c>
    </row>
    <row r="68" spans="1:1" x14ac:dyDescent="0.35">
      <c r="A68" s="16" t="s">
        <v>142</v>
      </c>
    </row>
    <row r="69" spans="1:1" x14ac:dyDescent="0.35">
      <c r="A69" s="16" t="s">
        <v>143</v>
      </c>
    </row>
    <row r="70" spans="1:1" x14ac:dyDescent="0.35">
      <c r="A70" s="16"/>
    </row>
    <row r="71" spans="1:1" ht="24.75" customHeight="1" x14ac:dyDescent="0.4">
      <c r="A71" s="17" t="s">
        <v>144</v>
      </c>
    </row>
    <row r="72" spans="1:1" x14ac:dyDescent="0.35">
      <c r="A72" s="16" t="s">
        <v>145</v>
      </c>
    </row>
    <row r="73" spans="1:1" x14ac:dyDescent="0.35">
      <c r="A73" s="16" t="s">
        <v>146</v>
      </c>
    </row>
    <row r="74" spans="1:1" x14ac:dyDescent="0.35">
      <c r="A74" s="16" t="s">
        <v>147</v>
      </c>
    </row>
    <row r="75" spans="1:1" x14ac:dyDescent="0.35">
      <c r="A75" s="16" t="s">
        <v>148</v>
      </c>
    </row>
    <row r="76" spans="1:1" x14ac:dyDescent="0.35">
      <c r="A76" s="16" t="s">
        <v>149</v>
      </c>
    </row>
    <row r="77" spans="1:1" x14ac:dyDescent="0.35">
      <c r="A77" s="16" t="s">
        <v>150</v>
      </c>
    </row>
    <row r="78" spans="1:1" x14ac:dyDescent="0.35">
      <c r="A78" s="16"/>
    </row>
    <row r="79" spans="1:1" ht="24.75" customHeight="1" x14ac:dyDescent="0.4">
      <c r="A79" s="17" t="s">
        <v>151</v>
      </c>
    </row>
    <row r="80" spans="1:1" x14ac:dyDescent="0.35">
      <c r="A80" s="16" t="s">
        <v>152</v>
      </c>
    </row>
    <row r="81" spans="1:1" x14ac:dyDescent="0.35">
      <c r="A81" s="16" t="s">
        <v>153</v>
      </c>
    </row>
    <row r="82" spans="1:1" x14ac:dyDescent="0.35">
      <c r="A82" s="16" t="s">
        <v>154</v>
      </c>
    </row>
    <row r="83" spans="1:1" x14ac:dyDescent="0.35">
      <c r="A83" s="16" t="s">
        <v>155</v>
      </c>
    </row>
    <row r="84" spans="1:1" x14ac:dyDescent="0.35">
      <c r="A84" s="16" t="s">
        <v>156</v>
      </c>
    </row>
    <row r="85" spans="1:1" x14ac:dyDescent="0.35">
      <c r="A85" s="16" t="s">
        <v>157</v>
      </c>
    </row>
    <row r="86" spans="1:1" x14ac:dyDescent="0.35">
      <c r="A86" s="16"/>
    </row>
    <row r="87" spans="1:1" ht="24.75" customHeight="1" x14ac:dyDescent="0.4">
      <c r="A87" s="17" t="s">
        <v>158</v>
      </c>
    </row>
    <row r="88" spans="1:1" x14ac:dyDescent="0.35">
      <c r="A88" s="16" t="s">
        <v>159</v>
      </c>
    </row>
    <row r="89" spans="1:1" x14ac:dyDescent="0.35">
      <c r="A89" s="16" t="s">
        <v>160</v>
      </c>
    </row>
    <row r="90" spans="1:1" x14ac:dyDescent="0.35">
      <c r="A90" s="16" t="s">
        <v>161</v>
      </c>
    </row>
    <row r="91" spans="1:1" x14ac:dyDescent="0.35">
      <c r="A91" s="16" t="s">
        <v>162</v>
      </c>
    </row>
    <row r="92" spans="1:1" x14ac:dyDescent="0.35">
      <c r="A92" s="16" t="s">
        <v>163</v>
      </c>
    </row>
    <row r="93" spans="1:1" x14ac:dyDescent="0.35">
      <c r="A93" s="16" t="s">
        <v>164</v>
      </c>
    </row>
    <row r="94" spans="1:1" x14ac:dyDescent="0.35">
      <c r="A94" s="16"/>
    </row>
    <row r="95" spans="1:1" ht="24.75" customHeight="1" x14ac:dyDescent="0.4">
      <c r="A95" s="17" t="s">
        <v>165</v>
      </c>
    </row>
    <row r="96" spans="1:1" ht="84.75" customHeight="1" x14ac:dyDescent="0.35">
      <c r="A96" s="22" t="e" vm="3">
        <f ca="1">"The community outreach sessions during this reporting period successfully reached "&amp;Dashboard!C2&amp;" participants through "&amp;Dashboard!C3&amp;_xlfn._LONGTEXT(" sessions. The sessions addressed critical thematic areas including sexual and reproductive health, STI prevention, and drug abuse awareness. Continued engagement with vulnerable populations including IDPs, sex workers, gender minorities, and persons with"," disabilities remains a priority. Despite challenges encountered, the program demonstrated strong community participation and valuable lessons were documented for future improvements.")</f>
        <v>#NAME?</v>
      </c>
    </row>
    <row r="97" spans="1:1" x14ac:dyDescent="0.35">
      <c r="A97" s="16"/>
    </row>
    <row r="98" spans="1:1" ht="24.75" customHeight="1" x14ac:dyDescent="0.4">
      <c r="A98" s="17" t="s">
        <v>166</v>
      </c>
    </row>
    <row r="99" spans="1:1" x14ac:dyDescent="0.35">
      <c r="A99" s="16" t="s">
        <v>167</v>
      </c>
    </row>
    <row r="100" spans="1:1" x14ac:dyDescent="0.35">
      <c r="A100" s="16" t="s">
        <v>168</v>
      </c>
    </row>
    <row r="101" spans="1:1" x14ac:dyDescent="0.35">
      <c r="A101" s="16" t="s">
        <v>169</v>
      </c>
    </row>
    <row r="102" spans="1:1" x14ac:dyDescent="0.35">
      <c r="A102" s="16" t="s">
        <v>170</v>
      </c>
    </row>
    <row r="103" spans="1:1" x14ac:dyDescent="0.35">
      <c r="A103" s="16" t="s">
        <v>171</v>
      </c>
    </row>
    <row r="104" spans="1:1" x14ac:dyDescent="0.35">
      <c r="A104" s="16"/>
    </row>
    <row r="105" spans="1:1" ht="9.75" customHeight="1" thickBot="1" x14ac:dyDescent="0.4">
      <c r="A105" s="18"/>
    </row>
    <row r="106" spans="1:1" ht="15" thickTop="1" x14ac:dyDescent="0.35">
      <c r="A106" s="16"/>
    </row>
    <row r="107" spans="1:1" x14ac:dyDescent="0.35">
      <c r="A107" s="23" t="str">
        <f>"Report Prepared by"</f>
        <v>Report Prepared by</v>
      </c>
    </row>
    <row r="108" spans="1:1" x14ac:dyDescent="0.35">
      <c r="A108" s="19" t="s">
        <v>172</v>
      </c>
    </row>
    <row r="109" spans="1:1" x14ac:dyDescent="0.35">
      <c r="A109" s="16"/>
    </row>
    <row r="110" spans="1:1" x14ac:dyDescent="0.35">
      <c r="A110" s="16" t="s">
        <v>173</v>
      </c>
    </row>
    <row r="111" spans="1:1" x14ac:dyDescent="0.35">
      <c r="A111" s="16" t="s">
        <v>174</v>
      </c>
    </row>
    <row r="112" spans="1:1" x14ac:dyDescent="0.35">
      <c r="A112" s="16" t="s">
        <v>175</v>
      </c>
    </row>
    <row r="113" spans="1:1" x14ac:dyDescent="0.35">
      <c r="A113" s="16" t="s">
        <v>176</v>
      </c>
    </row>
    <row r="114" spans="1:1" x14ac:dyDescent="0.35">
      <c r="A114" s="16"/>
    </row>
    <row r="115" spans="1:1" x14ac:dyDescent="0.35">
      <c r="A115" s="16" t="s">
        <v>173</v>
      </c>
    </row>
    <row r="116" spans="1:1" x14ac:dyDescent="0.35">
      <c r="A116" s="16" t="s">
        <v>177</v>
      </c>
    </row>
    <row r="117" spans="1:1" x14ac:dyDescent="0.35">
      <c r="A117" s="16" t="s">
        <v>175</v>
      </c>
    </row>
    <row r="118" spans="1:1" ht="15" thickBot="1" x14ac:dyDescent="0.4">
      <c r="A118" s="20" t="s">
        <v>176</v>
      </c>
    </row>
  </sheetData>
  <sheetProtection algorithmName="SHA-512" hashValue="s0+UqO7UBScGrPbgus/vlFfL9fq30MAlAdn/dbxaEoe2QgbVTM7jkR1r4UupL/KtMxAztWXIMti+sFAtNxmEZQ==" saltValue="FLvfBcUDp2oeMT7FgPnRag==" spinCount="100000" sheet="1" objects="1" scenarios="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Data_Entry</vt:lpstr>
      <vt:lpstr>Weekly_Monthly_Summary</vt:lpstr>
      <vt:lpstr>Dashboard</vt:lpstr>
      <vt:lpstr>Pivot_Community</vt:lpstr>
      <vt:lpstr>Pivot_Thematic</vt:lpstr>
      <vt:lpstr>Pivot_Project</vt:lpstr>
      <vt:lpstr>Pivot_Age_Group</vt:lpstr>
      <vt:lpstr>Narrative_Report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VIAC FINANCE</dc:creator>
  <cp:keywords/>
  <dc:description/>
  <cp:lastModifiedBy>VIAC FINANCE</cp:lastModifiedBy>
  <cp:revision/>
  <dcterms:created xsi:type="dcterms:W3CDTF">2026-07-28T12:07:37Z</dcterms:created>
  <dcterms:modified xsi:type="dcterms:W3CDTF">2026-08-05T10:39:25Z</dcterms:modified>
  <cp:category/>
  <cp:contentStatus/>
</cp:coreProperties>
</file>