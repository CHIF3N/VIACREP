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bookViews>
    <workbookView firstSheet="1" activeTab="1"/>
  </bookViews>
  <sheets>
    <sheet name="Sheet1" sheetId="1" r:id="rId1" state="hidden"/>
    <sheet name="Data_Entry" sheetId="2" r:id="rId2"/>
    <sheet name="Weekly_Monthly_Summary" sheetId="3" r:id="rId3"/>
    <sheet name="Dashboard" sheetId="4" r:id="rId4"/>
    <sheet name="Pivot_Community" sheetId="5" r:id="rId5"/>
    <sheet name="Pivot_Thematic" sheetId="6" r:id="rId6"/>
    <sheet name="Pivot_Project" sheetId="7" r:id="rId7"/>
    <sheet name="Pivot_Age_Group" sheetId="8" r:id="rId8"/>
    <sheet name="Narrative_Report" sheetId="9" r:id="rId9"/>
  </sheets>
  <definedNames>
    <definedName name="_xlchart.v1.0" hidden="1">Weekly_Monthly_Summary!$A$3:$A$14</definedName>
    <definedName name="_xlchart.v1.1" hidden="1">Weekly_Monthly_Summary!$B$3:$B$14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dd\-mmm\-yyyy"/>
    <numFmt numFmtId="165" formatCode="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4"/>
  <sheetViews>
    <sheetView workbookViewId="0" rightToLeft="0"/>
  </sheetViews>
  <sheetData>
    <row r="1">
      <c r="A1" t="str">
        <v>Division - Subdivision</v>
      </c>
      <c r="B1" t="str">
        <v>Communities</v>
      </c>
    </row>
    <row r="2">
      <c r="A2" t="str">
        <v>Fako - Buea</v>
      </c>
      <c r="B2" t="str">
        <v>Likoko  Membea</v>
      </c>
    </row>
    <row r="3">
      <c r="A3" t="str">
        <v>Fako - Buea</v>
      </c>
      <c r="B3" t="str">
        <v xml:space="preserve">Lysoka </v>
      </c>
    </row>
    <row r="4">
      <c r="A4" t="str">
        <v>Fako - Buea</v>
      </c>
      <c r="B4" t="str">
        <v>Bitingui</v>
      </c>
    </row>
    <row r="5">
      <c r="A5" t="str">
        <v>Fako - Buea</v>
      </c>
      <c r="B5" t="str">
        <v>Bokoko</v>
      </c>
    </row>
    <row r="6">
      <c r="A6" t="str">
        <v>Fako - Buea</v>
      </c>
      <c r="B6" t="str">
        <v>Bokova</v>
      </c>
    </row>
    <row r="7">
      <c r="A7" t="str">
        <v>Fako - Buea</v>
      </c>
      <c r="B7" t="str">
        <v>Sandpit</v>
      </c>
    </row>
    <row r="8">
      <c r="A8" t="str">
        <v>Fako - Buea</v>
      </c>
      <c r="B8" t="str">
        <v>Bonduma</v>
      </c>
    </row>
    <row r="9">
      <c r="A9" t="str">
        <v>Fako - Buea</v>
      </c>
      <c r="B9" t="str">
        <v>Bokwai</v>
      </c>
    </row>
    <row r="10">
      <c r="A10" t="str">
        <v>Fako - Buea</v>
      </c>
      <c r="B10" t="str">
        <v>Bokwango</v>
      </c>
    </row>
    <row r="11">
      <c r="A11" t="str">
        <v>Fako - Buea</v>
      </c>
      <c r="B11" t="str">
        <v>Bolifamba (Mile 16)</v>
      </c>
    </row>
    <row r="12">
      <c r="A12" t="str">
        <v>Fako - Buea</v>
      </c>
      <c r="B12" t="str">
        <v>Bonakanda</v>
      </c>
    </row>
    <row r="13">
      <c r="A13" t="str">
        <v>Fako - Buea</v>
      </c>
      <c r="B13" t="str">
        <v>Bova I</v>
      </c>
    </row>
    <row r="14">
      <c r="A14" t="str">
        <v>Fako - Buea</v>
      </c>
      <c r="B14" t="str">
        <v>Bova II</v>
      </c>
    </row>
    <row r="15">
      <c r="A15" t="str">
        <v>Fako - Buea</v>
      </c>
      <c r="B15" t="str">
        <v>Bulu</v>
      </c>
    </row>
    <row r="16">
      <c r="A16" t="str">
        <v>Fako - Buea</v>
      </c>
      <c r="B16" t="str">
        <v>Bwassa</v>
      </c>
    </row>
    <row r="17">
      <c r="A17" t="str">
        <v>Fako - Buea</v>
      </c>
      <c r="B17" t="str">
        <v>Ewonda</v>
      </c>
    </row>
    <row r="18">
      <c r="A18" t="str">
        <v>Fako - Buea</v>
      </c>
      <c r="B18" t="str">
        <v>Likombe</v>
      </c>
    </row>
    <row r="19">
      <c r="A19" t="str">
        <v>Fako - Buea</v>
      </c>
      <c r="B19" t="str">
        <v>Liongo</v>
      </c>
    </row>
    <row r="20">
      <c r="A20" t="str">
        <v>Fako - Buea</v>
      </c>
      <c r="B20" t="str">
        <v>Lissoka (Lysoka Bwielei)</v>
      </c>
    </row>
    <row r="21">
      <c r="A21" t="str">
        <v>Fako - Buea</v>
      </c>
      <c r="B21" t="str">
        <v>Lower Muea</v>
      </c>
    </row>
    <row r="22">
      <c r="A22" t="str">
        <v>Fako - Buea</v>
      </c>
      <c r="B22" t="str">
        <v>Middle Bonjongo</v>
      </c>
    </row>
    <row r="23">
      <c r="A23" t="str">
        <v>Fako - Buea</v>
      </c>
      <c r="B23" t="str">
        <v>Mile 16</v>
      </c>
    </row>
    <row r="24">
      <c r="A24" t="str">
        <v>Fako - Buea</v>
      </c>
      <c r="B24" t="str">
        <v>Mile 17</v>
      </c>
    </row>
    <row r="25">
      <c r="A25" t="str">
        <v>Fako - Buea</v>
      </c>
      <c r="B25" t="str">
        <v>Molyko</v>
      </c>
    </row>
    <row r="26">
      <c r="A26" t="str">
        <v>Fako - Buea</v>
      </c>
      <c r="B26" t="str">
        <v>Muea (Upper &amp; Lower Muea)</v>
      </c>
    </row>
    <row r="27">
      <c r="A27" t="str">
        <v>Fako - Buea</v>
      </c>
      <c r="B27" t="str">
        <v xml:space="preserve"> Small Soppo</v>
      </c>
    </row>
    <row r="28">
      <c r="A28" t="str">
        <v>Fako - Buea</v>
      </c>
      <c r="B28" t="str">
        <v>Tole</v>
      </c>
    </row>
    <row r="29">
      <c r="A29" t="str">
        <v>Fako - Buea</v>
      </c>
      <c r="B29" t="str">
        <v>Wututu</v>
      </c>
    </row>
    <row r="30">
      <c r="A30" t="str">
        <v>Fako - Limbe I</v>
      </c>
      <c r="B30" t="str">
        <v>Bimbia</v>
      </c>
    </row>
    <row r="31">
      <c r="A31" t="str">
        <v>Fako - Limbe I</v>
      </c>
      <c r="B31" t="str">
        <v>Mokundange</v>
      </c>
    </row>
    <row r="32">
      <c r="A32" t="str">
        <v>Fako - Limbe I</v>
      </c>
      <c r="B32" t="str">
        <v xml:space="preserve"> CDC Camp</v>
      </c>
    </row>
    <row r="33">
      <c r="A33" t="str">
        <v>Fako - Limbe I</v>
      </c>
      <c r="B33" t="str">
        <v>Down Beach</v>
      </c>
    </row>
    <row r="34">
      <c r="A34" t="str">
        <v>Fako - Limbe I</v>
      </c>
      <c r="B34" t="str">
        <v>New Town</v>
      </c>
    </row>
    <row r="35">
      <c r="A35" t="str">
        <v>Fako - Limbe II</v>
      </c>
      <c r="B35" t="str">
        <v>Batoke</v>
      </c>
    </row>
    <row r="36">
      <c r="A36" t="str">
        <v>Fako - Limbe II</v>
      </c>
      <c r="B36" t="str">
        <v>Bakingili</v>
      </c>
    </row>
    <row r="37">
      <c r="A37" t="str">
        <v>Fako - Limbe II</v>
      </c>
      <c r="B37" t="str">
        <v>Wovia</v>
      </c>
    </row>
    <row r="38">
      <c r="A38" t="str">
        <v>Fako - Limbe II</v>
      </c>
      <c r="B38" t="str">
        <v>Moliweh</v>
      </c>
    </row>
    <row r="39">
      <c r="A39" t="str">
        <v>Fako - Limbe II</v>
      </c>
      <c r="B39" t="str">
        <v>Mile 1</v>
      </c>
    </row>
    <row r="40">
      <c r="A40" t="str">
        <v>Fako - Limbe II</v>
      </c>
      <c r="B40" t="str">
        <v xml:space="preserve">Mile 2 </v>
      </c>
    </row>
    <row r="41">
      <c r="A41" t="str">
        <v>Fako - Limbe III</v>
      </c>
      <c r="B41" t="str">
        <v>Debundscha</v>
      </c>
    </row>
    <row r="42">
      <c r="A42" t="str">
        <v>Fako - Limbe III</v>
      </c>
      <c r="B42" t="str">
        <v>Bobende</v>
      </c>
    </row>
    <row r="43">
      <c r="A43" t="str">
        <v>Fako - Limbe III</v>
      </c>
      <c r="B43" t="str">
        <v>Mokoko</v>
      </c>
    </row>
    <row r="44">
      <c r="A44" t="str">
        <v>Fako - Limbe III</v>
      </c>
      <c r="B44" t="str">
        <v>Mile 4</v>
      </c>
    </row>
    <row r="45">
      <c r="A45" t="str">
        <v>Fako - Limbe III</v>
      </c>
      <c r="B45" t="str">
        <v>Idenau</v>
      </c>
    </row>
    <row r="46">
      <c r="A46" t="str">
        <v>Fako - Tiko</v>
      </c>
      <c r="B46" t="str">
        <v>Missellele</v>
      </c>
    </row>
    <row r="47">
      <c r="A47" t="str">
        <v>Fako - Tiko</v>
      </c>
      <c r="B47" t="str">
        <v>Mondoni</v>
      </c>
    </row>
    <row r="48">
      <c r="A48" t="str">
        <v>Fako - Tiko</v>
      </c>
      <c r="B48" t="str">
        <v>Ombe</v>
      </c>
    </row>
    <row r="49">
      <c r="A49" t="str">
        <v>Fako - Tiko</v>
      </c>
      <c r="B49" t="str">
        <v>Moquo</v>
      </c>
    </row>
    <row r="50">
      <c r="A50" t="str">
        <v>Fako - Tiko</v>
      </c>
      <c r="B50" t="str">
        <v>Mudeka</v>
      </c>
    </row>
    <row r="51">
      <c r="A51" t="str">
        <v>Fako - Tiko</v>
      </c>
      <c r="B51" t="str">
        <v>Tiko Town</v>
      </c>
    </row>
    <row r="52">
      <c r="A52" t="str">
        <v>Fako - Tiko</v>
      </c>
      <c r="B52" t="str">
        <v>Likomba</v>
      </c>
    </row>
    <row r="53">
      <c r="A53" t="str">
        <v>Fako - Tiko</v>
      </c>
      <c r="B53" t="str">
        <v>Mutengene</v>
      </c>
    </row>
    <row r="54">
      <c r="A54" t="str">
        <v>Meme - Kumba I</v>
      </c>
      <c r="B54" t="str">
        <v>Hausa Quarter</v>
      </c>
    </row>
    <row r="55">
      <c r="A55" t="str">
        <v>Meme - Kumba I</v>
      </c>
      <c r="B55" t="str">
        <v xml:space="preserve">kumba Town </v>
      </c>
    </row>
    <row r="56">
      <c r="A56" t="str">
        <v>Meme - Kumba I</v>
      </c>
      <c r="B56" t="str">
        <v>Three Corners</v>
      </c>
    </row>
    <row r="57">
      <c r="A57" t="str">
        <v>Meme - Kumba II</v>
      </c>
      <c r="B57" t="str">
        <v>Barombi Mbo</v>
      </c>
    </row>
    <row r="58">
      <c r="A58" t="str">
        <v>Meme - Kumba II</v>
      </c>
      <c r="B58" t="str">
        <v>Mbengui Road</v>
      </c>
    </row>
    <row r="59">
      <c r="A59" t="str">
        <v>Meme - Kumba II</v>
      </c>
      <c r="B59" t="str">
        <v>Fiango</v>
      </c>
    </row>
    <row r="60">
      <c r="A60" t="str">
        <v>Meme - Kumba II</v>
      </c>
      <c r="B60" t="str">
        <v>Kosala</v>
      </c>
    </row>
    <row r="61">
      <c r="A61" t="str">
        <v>Meme - Kumba III</v>
      </c>
      <c r="B61" t="str">
        <v>Kumba Mbeng</v>
      </c>
    </row>
    <row r="62">
      <c r="A62" t="str">
        <v>Meme - Kumba III</v>
      </c>
      <c r="B62" t="str">
        <v>Malende</v>
      </c>
    </row>
    <row r="63">
      <c r="A63" t="str">
        <v>Meme - Kumba III</v>
      </c>
      <c r="B63" t="str">
        <v>Mabonji</v>
      </c>
    </row>
    <row r="64">
      <c r="A64" t="str">
        <v>Meme - Kumba III</v>
      </c>
      <c r="B64" t="str">
        <v>Bekondo</v>
      </c>
    </row>
    <row r="65">
      <c r="A65" t="str">
        <v xml:space="preserve">BAMENDA I </v>
      </c>
      <c r="B65" t="str">
        <v>Commercial Avenue</v>
      </c>
    </row>
    <row r="66">
      <c r="A66" t="str">
        <v xml:space="preserve">BAMENDA I </v>
      </c>
      <c r="B66" t="str">
        <v>Old Town</v>
      </c>
    </row>
    <row r="67">
      <c r="A67" t="str">
        <v xml:space="preserve">BAMENDA I </v>
      </c>
      <c r="B67" t="str">
        <v>Up Station</v>
      </c>
    </row>
    <row r="68">
      <c r="A68" t="str">
        <v xml:space="preserve">BAMENDA I </v>
      </c>
      <c r="B68" t="str">
        <v>Hospital Roundabout</v>
      </c>
    </row>
    <row r="69">
      <c r="A69" t="str">
        <v xml:space="preserve">BAMENDA I </v>
      </c>
      <c r="B69" t="str">
        <v>Food Market Area</v>
      </c>
    </row>
    <row r="70">
      <c r="A70" t="str">
        <v xml:space="preserve">BAMENDA I </v>
      </c>
      <c r="B70" t="str">
        <v>Bamendankwe</v>
      </c>
    </row>
    <row r="71">
      <c r="A71" t="str">
        <v xml:space="preserve">BAMENDA I </v>
      </c>
      <c r="B71" t="str">
        <v>Abangoh</v>
      </c>
    </row>
    <row r="72">
      <c r="A72" t="str">
        <v xml:space="preserve">BAMENDA I </v>
      </c>
      <c r="B72" t="str">
        <v>Alahnting</v>
      </c>
    </row>
    <row r="73">
      <c r="A73" t="str">
        <v xml:space="preserve">BAMENDA I </v>
      </c>
      <c r="B73" t="str">
        <v>Ayaba</v>
      </c>
    </row>
    <row r="74">
      <c r="A74" t="str">
        <v xml:space="preserve">BAMENDA I </v>
      </c>
      <c r="B74" t="str">
        <v>Ntafi</v>
      </c>
    </row>
    <row r="75">
      <c r="A75" t="str">
        <v xml:space="preserve">BAMENDA I </v>
      </c>
      <c r="B75" t="str">
        <v>Ntamulung</v>
      </c>
    </row>
    <row r="76">
      <c r="A76" t="str">
        <v xml:space="preserve">BAMENDA I </v>
      </c>
      <c r="B76" t="str">
        <v>Ntasen</v>
      </c>
    </row>
    <row r="77">
      <c r="A77" t="str">
        <v xml:space="preserve">BAMENDA II </v>
      </c>
      <c r="B77" t="str">
        <v>Agyati</v>
      </c>
    </row>
    <row r="78">
      <c r="A78" t="str">
        <v xml:space="preserve">BAMENDA II </v>
      </c>
      <c r="B78" t="str">
        <v>Nsongwa</v>
      </c>
    </row>
    <row r="79">
      <c r="A79" t="str">
        <v xml:space="preserve">BAMENDA II </v>
      </c>
      <c r="B79" t="str">
        <v>Mankon</v>
      </c>
    </row>
    <row r="80">
      <c r="A80" t="str">
        <v xml:space="preserve">BAMENDA II </v>
      </c>
      <c r="B80" t="str">
        <v>Mobile Nkwen</v>
      </c>
    </row>
    <row r="81">
      <c r="A81" t="str">
        <v xml:space="preserve">BAMENDA II </v>
      </c>
      <c r="B81" t="str">
        <v>City Chemist</v>
      </c>
    </row>
    <row r="82">
      <c r="A82" t="str">
        <v xml:space="preserve">BAMENDA II </v>
      </c>
      <c r="B82" t="str">
        <v>Finance Junction</v>
      </c>
    </row>
    <row r="83">
      <c r="A83" t="str">
        <v xml:space="preserve">BAMENDA II </v>
      </c>
      <c r="B83" t="str">
        <v>Veterinary Junction</v>
      </c>
    </row>
    <row r="84">
      <c r="A84" t="str">
        <v xml:space="preserve">BAMENDA II </v>
      </c>
      <c r="B84" t="str">
        <v xml:space="preserve">Bangshie </v>
      </c>
    </row>
    <row r="85">
      <c r="A85" t="str">
        <v xml:space="preserve">BAMENDA II </v>
      </c>
      <c r="B85" t="str">
        <v xml:space="preserve">Nchoubu </v>
      </c>
    </row>
    <row r="86">
      <c r="A86" t="str">
        <v xml:space="preserve">BAMENDA II </v>
      </c>
      <c r="B86" t="str">
        <v xml:space="preserve">Ntarinkon </v>
      </c>
    </row>
    <row r="87">
      <c r="A87" t="str">
        <v xml:space="preserve">BAMENDA II </v>
      </c>
      <c r="B87" t="str">
        <v xml:space="preserve">Ngomgham </v>
      </c>
    </row>
    <row r="88">
      <c r="A88" t="str">
        <v xml:space="preserve">BAMENDA II </v>
      </c>
      <c r="B88" t="str">
        <v xml:space="preserve">Nitop I to IV </v>
      </c>
    </row>
    <row r="89">
      <c r="A89" t="str">
        <v xml:space="preserve">BAMENDA II </v>
      </c>
      <c r="B89" t="str">
        <v xml:space="preserve">Azire </v>
      </c>
    </row>
    <row r="90">
      <c r="A90" t="str">
        <v xml:space="preserve">BAMENDA II </v>
      </c>
      <c r="B90" t="str">
        <v xml:space="preserve">Ntamulung </v>
      </c>
    </row>
    <row r="91">
      <c r="A91" t="str">
        <v xml:space="preserve">BAMENDA II </v>
      </c>
      <c r="B91" t="str">
        <v xml:space="preserve">Alakuma </v>
      </c>
    </row>
    <row r="92">
      <c r="A92" t="str">
        <v xml:space="preserve">BAMENDA II </v>
      </c>
      <c r="B92" t="str">
        <v xml:space="preserve">Mile 2 Nkwen </v>
      </c>
    </row>
    <row r="93">
      <c r="A93" t="str">
        <v xml:space="preserve">BAMENDA III </v>
      </c>
      <c r="B93" t="str">
        <v xml:space="preserve">Mile 3 Nkwen </v>
      </c>
    </row>
    <row r="94">
      <c r="A94" t="str">
        <v xml:space="preserve">BAMENDA III </v>
      </c>
      <c r="B94" t="str">
        <v xml:space="preserve">Mile 4 Nkwen </v>
      </c>
    </row>
    <row r="95">
      <c r="A95" t="str">
        <v xml:space="preserve">BAMENDA III </v>
      </c>
      <c r="B95" t="str">
        <v xml:space="preserve">Mile 5 Nkwen </v>
      </c>
    </row>
    <row r="96">
      <c r="A96" t="str">
        <v xml:space="preserve">BAMENDA III </v>
      </c>
      <c r="B96" t="str">
        <v>Foncha Junction</v>
      </c>
    </row>
    <row r="97">
      <c r="A97" t="str">
        <v xml:space="preserve">BAMENDA III </v>
      </c>
      <c r="B97" t="str">
        <v xml:space="preserve">Rendezvous  </v>
      </c>
    </row>
    <row r="98">
      <c r="A98" t="str">
        <v xml:space="preserve">BAMENDA III </v>
      </c>
      <c r="B98" t="str">
        <v>Sisia</v>
      </c>
    </row>
    <row r="99">
      <c r="A99" t="str">
        <v xml:space="preserve">BAMENDA III </v>
      </c>
      <c r="B99" t="str">
        <v>Ntambag</v>
      </c>
    </row>
    <row r="100">
      <c r="A100" t="str">
        <v xml:space="preserve">BAMENDA III </v>
      </c>
      <c r="B100" t="str">
        <v>Mbelewa</v>
      </c>
    </row>
    <row r="101">
      <c r="A101" t="str">
        <v xml:space="preserve">BAMENDA III </v>
      </c>
      <c r="B101" t="str">
        <v>Ndzah</v>
      </c>
    </row>
    <row r="102">
      <c r="A102" t="str">
        <v xml:space="preserve">BAMENDA III </v>
      </c>
      <c r="B102" t="str">
        <v>Ntasen</v>
      </c>
    </row>
    <row r="103">
      <c r="A103" t="str">
        <v>BAMENDA  IV</v>
      </c>
      <c r="B103" t="str">
        <v xml:space="preserve">Bambui </v>
      </c>
    </row>
    <row r="104">
      <c r="A104" t="str">
        <v>BAMENDA  IV</v>
      </c>
      <c r="B104" t="str">
        <v>Bambili</v>
      </c>
    </row>
  </sheetData>
  <pageMargins left="0.7" right="0.7" top="0.75" bottom="0.75" header="0.3" footer="0.3"/>
  <ignoredErrors>
    <ignoredError numberStoredAsText="1" sqref="A1:C104"/>
  </ignoredErrors>
</worksheet>
</file>

<file path=xl/worksheets/sheet2.xml><?xml version="1.0" encoding="utf-8"?>
<worksheet xmlns="http://schemas.openxmlformats.org/spreadsheetml/2006/main" xmlns:r="http://schemas.openxmlformats.org/officeDocument/2006/relationships">
  <dimension ref="A1:U202"/>
  <sheetViews>
    <sheetView workbookViewId="0" rightToLeft="0"/>
  </sheetViews>
  <sheetData>
    <row r="1">
      <c r="I1" t="str">
        <v>Sex workers</v>
      </c>
      <c r="K1" t="str">
        <v>Gender Minorities</v>
      </c>
      <c r="M1" t="str">
        <v xml:space="preserve">IDP </v>
      </c>
      <c r="O1" t="str">
        <v>Persons with disabilities</v>
      </c>
      <c r="Q1" t="str">
        <v>AGY-W</v>
      </c>
      <c r="R1" t="str">
        <v>ABY-M</v>
      </c>
      <c r="U1" t="str">
        <v>TOTAL</v>
      </c>
    </row>
    <row r="2">
      <c r="A2" t="str">
        <v>Date</v>
      </c>
      <c r="B2" t="str">
        <v>Week</v>
      </c>
      <c r="C2" t="str">
        <v>Month</v>
      </c>
      <c r="D2" t="str">
        <v>Division - Subdivision</v>
      </c>
      <c r="E2" t="str">
        <v>Communities</v>
      </c>
      <c r="F2" t="str">
        <v>Thematic Area</v>
      </c>
      <c r="G2" t="str">
        <v>Age Group</v>
      </c>
      <c r="H2" t="str">
        <v>Project</v>
      </c>
      <c r="I2" t="str">
        <v>MALE</v>
      </c>
      <c r="J2" t="str">
        <v>FEMALE</v>
      </c>
      <c r="K2" t="str">
        <v>MALE:</v>
      </c>
      <c r="L2" t="str">
        <v>FEMALE:</v>
      </c>
      <c r="M2" t="str">
        <v>MALE.</v>
      </c>
      <c r="N2" t="str">
        <v>FEMALE.</v>
      </c>
      <c r="O2" t="str">
        <v>MALE-</v>
      </c>
      <c r="P2" t="str">
        <v>FEMALE-</v>
      </c>
      <c r="Q2" t="str">
        <v>FEMALE_</v>
      </c>
      <c r="R2" t="str">
        <v>MALE_</v>
      </c>
      <c r="S2" t="str">
        <v>WOMEN</v>
      </c>
      <c r="T2" t="str">
        <v>MEN</v>
      </c>
      <c r="U2" t="str">
        <v>Participants</v>
      </c>
    </row>
    <row r="3">
      <c r="A3" t="str">
        <v>2026-03-02</v>
      </c>
      <c r="B3">
        <v>10</v>
      </c>
      <c r="C3" t="str">
        <v>Mar-2026</v>
      </c>
      <c r="D3" t="str">
        <v>Fako - Buea</v>
      </c>
      <c r="E3" t="str">
        <v>Bokwango</v>
      </c>
      <c r="F3" t="str">
        <v>Sexual &amp; Reproductive Health Rights (SRHR)</v>
      </c>
      <c r="G3" t="str">
        <v>Youth</v>
      </c>
      <c r="H3" t="str">
        <v>VIAC Program</v>
      </c>
      <c r="I3">
        <v>0</v>
      </c>
      <c r="J3">
        <v>3</v>
      </c>
      <c r="K3">
        <v>1</v>
      </c>
      <c r="L3">
        <v>0</v>
      </c>
      <c r="M3">
        <v>2</v>
      </c>
      <c r="N3">
        <v>1</v>
      </c>
      <c r="O3">
        <v>0</v>
      </c>
      <c r="P3">
        <v>1</v>
      </c>
      <c r="Q3">
        <v>4</v>
      </c>
      <c r="R3">
        <v>2</v>
      </c>
      <c r="S3">
        <v>5</v>
      </c>
      <c r="T3">
        <v>3</v>
      </c>
      <c r="U3">
        <v>22</v>
      </c>
    </row>
    <row r="4">
      <c r="A4" t="str">
        <v>2026-03-04</v>
      </c>
      <c r="B4">
        <v>10</v>
      </c>
      <c r="C4" t="str">
        <v>Mar-2026</v>
      </c>
      <c r="D4" t="str">
        <v>Fako - Buea</v>
      </c>
      <c r="E4" t="str">
        <v>Molyko</v>
      </c>
      <c r="F4" t="str">
        <v>HIV Testing &amp; Counselling</v>
      </c>
      <c r="G4" t="str">
        <v>Adolescents</v>
      </c>
      <c r="H4" t="str">
        <v>SPS Project</v>
      </c>
      <c r="I4">
        <v>1</v>
      </c>
      <c r="J4">
        <v>2</v>
      </c>
      <c r="K4">
        <v>0</v>
      </c>
      <c r="L4">
        <v>0</v>
      </c>
      <c r="M4">
        <v>1</v>
      </c>
      <c r="N4">
        <v>1</v>
      </c>
      <c r="O4">
        <v>0</v>
      </c>
      <c r="P4">
        <v>0</v>
      </c>
      <c r="Q4">
        <v>6</v>
      </c>
      <c r="R4">
        <v>0</v>
      </c>
      <c r="S4">
        <v>4</v>
      </c>
      <c r="T4">
        <v>4</v>
      </c>
      <c r="U4">
        <v>19</v>
      </c>
    </row>
    <row r="5">
      <c r="A5" t="str">
        <v>2026-03-07</v>
      </c>
      <c r="B5">
        <v>10</v>
      </c>
      <c r="C5" t="str">
        <v>Mar-2026</v>
      </c>
      <c r="D5" t="str">
        <v>Fako - Limbe I</v>
      </c>
      <c r="E5" t="str">
        <v>Bimbia</v>
      </c>
      <c r="F5" t="str">
        <v>Gender-Based Violence</v>
      </c>
      <c r="G5" t="str">
        <v>Adults</v>
      </c>
      <c r="H5" t="str">
        <v>HVF Project</v>
      </c>
      <c r="I5">
        <v>0</v>
      </c>
      <c r="J5">
        <v>4</v>
      </c>
      <c r="K5">
        <v>0</v>
      </c>
      <c r="L5">
        <v>1</v>
      </c>
      <c r="M5">
        <v>3</v>
      </c>
      <c r="N5">
        <v>2</v>
      </c>
      <c r="O5">
        <v>1</v>
      </c>
      <c r="P5">
        <v>1</v>
      </c>
      <c r="Q5">
        <v>2</v>
      </c>
      <c r="R5">
        <v>0</v>
      </c>
      <c r="S5">
        <v>8</v>
      </c>
      <c r="T5">
        <v>2</v>
      </c>
      <c r="U5">
        <v>24</v>
      </c>
    </row>
    <row r="6">
      <c r="A6" t="str">
        <v>2026-03-12</v>
      </c>
      <c r="B6">
        <v>11</v>
      </c>
      <c r="C6" t="str">
        <v>Mar-2026</v>
      </c>
      <c r="D6" t="str">
        <v>Fako - Buea</v>
      </c>
      <c r="E6" t="str">
        <v>Bonduma</v>
      </c>
      <c r="F6" t="str">
        <v>Family Planning</v>
      </c>
      <c r="G6" t="str">
        <v>Youth</v>
      </c>
      <c r="H6" t="str">
        <v>MAMA Project</v>
      </c>
      <c r="I6">
        <v>0</v>
      </c>
      <c r="J6">
        <v>2</v>
      </c>
      <c r="K6">
        <v>1</v>
      </c>
      <c r="L6">
        <v>0</v>
      </c>
      <c r="M6">
        <v>0</v>
      </c>
      <c r="N6">
        <v>0</v>
      </c>
      <c r="O6">
        <v>0</v>
      </c>
      <c r="P6">
        <v>0</v>
      </c>
      <c r="Q6">
        <v>5</v>
      </c>
      <c r="R6">
        <v>1</v>
      </c>
      <c r="S6">
        <v>6</v>
      </c>
      <c r="T6">
        <v>1</v>
      </c>
      <c r="U6">
        <v>16</v>
      </c>
    </row>
    <row r="7">
      <c r="A7" t="str">
        <v>2026-03-15</v>
      </c>
      <c r="B7">
        <v>11</v>
      </c>
      <c r="C7" t="str">
        <v>Mar-2026</v>
      </c>
      <c r="D7" t="str">
        <v>Mezam - Bamenda II</v>
      </c>
      <c r="E7" t="str">
        <v>Old Town</v>
      </c>
      <c r="F7" t="str">
        <v>STI Prevention &amp; Treatment</v>
      </c>
      <c r="G7" t="str">
        <v>Adolescents</v>
      </c>
      <c r="H7" t="str">
        <v>WHW Project</v>
      </c>
      <c r="I7">
        <v>2</v>
      </c>
      <c r="J7">
        <v>3</v>
      </c>
      <c r="K7">
        <v>1</v>
      </c>
      <c r="L7">
        <v>1</v>
      </c>
      <c r="M7">
        <v>2</v>
      </c>
      <c r="N7">
        <v>2</v>
      </c>
      <c r="O7">
        <v>0</v>
      </c>
      <c r="P7">
        <v>1</v>
      </c>
      <c r="Q7">
        <v>3</v>
      </c>
      <c r="R7">
        <v>2</v>
      </c>
      <c r="S7">
        <v>4</v>
      </c>
      <c r="T7">
        <v>5</v>
      </c>
      <c r="U7">
        <v>26</v>
      </c>
    </row>
    <row r="8">
      <c r="A8" t="str">
        <v>2026-03-18</v>
      </c>
      <c r="B8">
        <v>12</v>
      </c>
      <c r="C8" t="str">
        <v>Mar-2026</v>
      </c>
      <c r="D8" t="str">
        <v>Fako - Buea</v>
      </c>
      <c r="E8" t="str">
        <v>Likoko Membea</v>
      </c>
      <c r="F8" t="str">
        <v>Menstrual Health &amp; Hygiene</v>
      </c>
      <c r="G8" t="str">
        <v>Adolescents</v>
      </c>
      <c r="H8" t="str">
        <v>VIAC Program</v>
      </c>
      <c r="I8">
        <v>0</v>
      </c>
      <c r="J8">
        <v>1</v>
      </c>
      <c r="K8">
        <v>0</v>
      </c>
      <c r="L8">
        <v>0</v>
      </c>
      <c r="M8">
        <v>1</v>
      </c>
      <c r="N8">
        <v>2</v>
      </c>
      <c r="O8">
        <v>0</v>
      </c>
      <c r="P8">
        <v>0</v>
      </c>
      <c r="Q8">
        <v>8</v>
      </c>
      <c r="R8">
        <v>0</v>
      </c>
      <c r="S8">
        <v>3</v>
      </c>
      <c r="T8">
        <v>1</v>
      </c>
      <c r="U8">
        <v>16</v>
      </c>
    </row>
    <row r="9">
      <c r="B9">
        <f>WEEKNUM(A9)</f>
        <v>0</v>
      </c>
      <c r="C9" t="str">
        <f>TEXT(A9,"mmm-yyyy")</f>
        <v>Jan-1900</v>
      </c>
      <c r="D9" t="str">
        <f>IFERROR(INDEX(Sheet1!$A$2:$A$104,MATCH(SessionData[[#This Row],[Communities]],Sheet1!$B$2:$B$104,0)),"")</f>
        <v/>
      </c>
      <c r="U9">
        <f>SUM(SessionData[[#This Row],[MALE]:[MEN]])</f>
        <v>0</v>
      </c>
    </row>
    <row r="10">
      <c r="B10">
        <f>WEEKNUM(A10)</f>
        <v>0</v>
      </c>
      <c r="C10" t="str">
        <f>TEXT(A10,"mmm-yyyy")</f>
        <v>Jan-1900</v>
      </c>
      <c r="D10" t="str">
        <f>IFERROR(INDEX(Sheet1!$A$2:$A$104,MATCH(SessionData[[#This Row],[Communities]],Sheet1!$B$2:$B$104,0)),"")</f>
        <v/>
      </c>
      <c r="U10">
        <f>SUM(SessionData[[#This Row],[MALE]:[MEN]])</f>
        <v>0</v>
      </c>
    </row>
    <row r="11">
      <c r="B11">
        <f>WEEKNUM(A11)</f>
        <v>0</v>
      </c>
      <c r="C11" t="str">
        <f>TEXT(A11,"mmm-yyyy")</f>
        <v>Jan-1900</v>
      </c>
      <c r="D11" t="str">
        <f>IFERROR(INDEX(Sheet1!$A$2:$A$104,MATCH(SessionData[[#This Row],[Communities]],Sheet1!$B$2:$B$104,0)),"")</f>
        <v/>
      </c>
      <c r="U11">
        <f>SUM(SessionData[[#This Row],[MALE]:[MEN]])</f>
        <v>0</v>
      </c>
    </row>
    <row r="12">
      <c r="B12">
        <f>WEEKNUM(A12)</f>
        <v>0</v>
      </c>
      <c r="C12" t="str">
        <f>TEXT(A12,"mmm-yyyy")</f>
        <v>Jan-1900</v>
      </c>
      <c r="D12" t="str">
        <f>IFERROR(INDEX(Sheet1!$A$2:$A$104,MATCH(SessionData[[#This Row],[Communities]],Sheet1!$B$2:$B$104,0)),"")</f>
        <v/>
      </c>
      <c r="U12">
        <f>SUM(SessionData[[#This Row],[MALE]:[MEN]])</f>
        <v>0</v>
      </c>
    </row>
    <row r="13">
      <c r="B13">
        <f>WEEKNUM(A13)</f>
        <v>0</v>
      </c>
      <c r="C13" t="str">
        <f>TEXT(A13,"mmm-yyyy")</f>
        <v>Jan-1900</v>
      </c>
      <c r="D13" t="str">
        <f>IFERROR(INDEX(Sheet1!$A$2:$A$104,MATCH(SessionData[[#This Row],[Communities]],Sheet1!$B$2:$B$104,0)),"")</f>
        <v/>
      </c>
      <c r="U13">
        <f>SUM(SessionData[[#This Row],[MALE]:[MEN]])</f>
        <v>0</v>
      </c>
    </row>
    <row r="14">
      <c r="B14">
        <f>WEEKNUM(A14)</f>
        <v>0</v>
      </c>
      <c r="C14" t="str">
        <f>TEXT(A14,"mmm-yyyy")</f>
        <v>Jan-1900</v>
      </c>
      <c r="D14" t="str">
        <f>IFERROR(INDEX(Sheet1!$A$2:$A$104,MATCH(SessionData[[#This Row],[Communities]],Sheet1!$B$2:$B$104,0)),"")</f>
        <v/>
      </c>
      <c r="U14">
        <f>SUM(SessionData[[#This Row],[MALE]:[MEN]])</f>
        <v>0</v>
      </c>
    </row>
    <row r="15">
      <c r="B15">
        <f>WEEKNUM(A15)</f>
        <v>0</v>
      </c>
      <c r="C15" t="str">
        <f>TEXT(A15,"mmm-yyyy")</f>
        <v>Jan-1900</v>
      </c>
      <c r="D15" t="str">
        <f>IFERROR(INDEX(Sheet1!$A$2:$A$104,MATCH(SessionData[[#This Row],[Communities]],Sheet1!$B$2:$B$104,0)),"")</f>
        <v/>
      </c>
      <c r="U15">
        <f>SUM(SessionData[[#This Row],[MALE]:[MEN]])</f>
        <v>0</v>
      </c>
    </row>
    <row r="16">
      <c r="B16">
        <f>WEEKNUM(A16)</f>
        <v>0</v>
      </c>
      <c r="C16" t="str">
        <f>TEXT(A16,"mmm-yyyy")</f>
        <v>Jan-1900</v>
      </c>
      <c r="D16" t="str">
        <f>IFERROR(INDEX(Sheet1!$A$2:$A$104,MATCH(SessionData[[#This Row],[Communities]],Sheet1!$B$2:$B$104,0)),"")</f>
        <v/>
      </c>
      <c r="U16">
        <f>SUM(SessionData[[#This Row],[MALE]:[MEN]])</f>
        <v>0</v>
      </c>
    </row>
    <row r="17">
      <c r="B17">
        <f>WEEKNUM(A17)</f>
        <v>0</v>
      </c>
      <c r="C17" t="str">
        <f>TEXT(A17,"mmm-yyyy")</f>
        <v>Jan-1900</v>
      </c>
      <c r="D17" t="str">
        <f>IFERROR(INDEX(Sheet1!$A$2:$A$104,MATCH(SessionData[[#This Row],[Communities]],Sheet1!$B$2:$B$104,0)),"")</f>
        <v/>
      </c>
      <c r="U17">
        <f>SUM(SessionData[[#This Row],[MALE]:[MEN]])</f>
        <v>0</v>
      </c>
    </row>
    <row r="18">
      <c r="B18">
        <f>WEEKNUM(A18)</f>
        <v>0</v>
      </c>
      <c r="C18" t="str">
        <f>TEXT(A18,"mmm-yyyy")</f>
        <v>Jan-1900</v>
      </c>
      <c r="D18" t="str">
        <f>IFERROR(INDEX(Sheet1!$A$2:$A$104,MATCH(SessionData[[#This Row],[Communities]],Sheet1!$B$2:$B$104,0)),"")</f>
        <v/>
      </c>
      <c r="U18">
        <f>SUM(SessionData[[#This Row],[MALE]:[MEN]])</f>
        <v>0</v>
      </c>
    </row>
    <row r="19">
      <c r="B19">
        <f>WEEKNUM(A19)</f>
        <v>0</v>
      </c>
      <c r="C19" t="str">
        <f>TEXT(A19,"mmm-yyyy")</f>
        <v>Jan-1900</v>
      </c>
      <c r="D19" t="str">
        <f>IFERROR(INDEX(Sheet1!$A$2:$A$104,MATCH(SessionData[[#This Row],[Communities]],Sheet1!$B$2:$B$104,0)),"")</f>
        <v/>
      </c>
      <c r="U19">
        <f>SUM(SessionData[[#This Row],[MALE]:[MEN]])</f>
        <v>0</v>
      </c>
    </row>
    <row r="20">
      <c r="B20">
        <f>WEEKNUM(A20)</f>
        <v>0</v>
      </c>
      <c r="C20" t="str">
        <f>TEXT(A20,"mmm-yyyy")</f>
        <v>Jan-1900</v>
      </c>
      <c r="D20" t="str">
        <f>IFERROR(INDEX(Sheet1!$A$2:$A$104,MATCH(SessionData[[#This Row],[Communities]],Sheet1!$B$2:$B$104,0)),"")</f>
        <v/>
      </c>
      <c r="U20">
        <f>SUM(SessionData[[#This Row],[MALE]:[MEN]])</f>
        <v>0</v>
      </c>
    </row>
    <row r="21">
      <c r="B21">
        <f>WEEKNUM(A21)</f>
        <v>0</v>
      </c>
      <c r="C21" t="str">
        <f>TEXT(A21,"mmm-yyyy")</f>
        <v>Jan-1900</v>
      </c>
      <c r="D21" t="str">
        <f>IFERROR(INDEX(Sheet1!$A$2:$A$104,MATCH(SessionData[[#This Row],[Communities]],Sheet1!$B$2:$B$104,0)),"")</f>
        <v/>
      </c>
      <c r="U21">
        <f>SUM(SessionData[[#This Row],[MALE]:[MEN]])</f>
        <v>0</v>
      </c>
    </row>
    <row r="22">
      <c r="B22">
        <f>WEEKNUM(A22)</f>
        <v>0</v>
      </c>
      <c r="C22" t="str">
        <f>TEXT(A22,"mmm-yyyy")</f>
        <v>Jan-1900</v>
      </c>
      <c r="D22" t="str">
        <f>IFERROR(INDEX(Sheet1!$A$2:$A$104,MATCH(SessionData[[#This Row],[Communities]],Sheet1!$B$2:$B$104,0)),"")</f>
        <v/>
      </c>
      <c r="U22">
        <f>SUM(SessionData[[#This Row],[MALE]:[MEN]])</f>
        <v>0</v>
      </c>
    </row>
    <row r="23">
      <c r="B23">
        <f>WEEKNUM(A23)</f>
        <v>0</v>
      </c>
      <c r="C23" t="str">
        <f>TEXT(A23,"mmm-yyyy")</f>
        <v>Jan-1900</v>
      </c>
      <c r="D23" t="str">
        <f>IFERROR(INDEX(Sheet1!$A$2:$A$104,MATCH(SessionData[[#This Row],[Communities]],Sheet1!$B$2:$B$104,0)),"")</f>
        <v/>
      </c>
      <c r="U23">
        <f>SUM(SessionData[[#This Row],[MALE]:[MEN]])</f>
        <v>0</v>
      </c>
    </row>
    <row r="24">
      <c r="B24">
        <f>WEEKNUM(A24)</f>
        <v>0</v>
      </c>
      <c r="C24" t="str">
        <f>TEXT(A24,"mmm-yyyy")</f>
        <v>Jan-1900</v>
      </c>
      <c r="D24" t="str">
        <f>IFERROR(INDEX(Sheet1!$A$2:$A$104,MATCH(SessionData[[#This Row],[Communities]],Sheet1!$B$2:$B$104,0)),"")</f>
        <v/>
      </c>
      <c r="U24">
        <f>SUM(SessionData[[#This Row],[MALE]:[MEN]])</f>
        <v>0</v>
      </c>
    </row>
    <row r="25">
      <c r="B25">
        <f>WEEKNUM(A25)</f>
        <v>0</v>
      </c>
      <c r="C25" t="str">
        <f>TEXT(A25,"mmm-yyyy")</f>
        <v>Jan-1900</v>
      </c>
      <c r="D25" t="str">
        <f>IFERROR(INDEX(Sheet1!$A$2:$A$104,MATCH(SessionData[[#This Row],[Communities]],Sheet1!$B$2:$B$104,0)),"")</f>
        <v/>
      </c>
      <c r="U25">
        <f>SUM(SessionData[[#This Row],[MALE]:[MEN]])</f>
        <v>0</v>
      </c>
    </row>
    <row r="26">
      <c r="B26">
        <f>WEEKNUM(A26)</f>
        <v>0</v>
      </c>
      <c r="C26" t="str">
        <f>TEXT(A26,"mmm-yyyy")</f>
        <v>Jan-1900</v>
      </c>
      <c r="D26" t="str">
        <f>IFERROR(INDEX(Sheet1!$A$2:$A$104,MATCH(SessionData[[#This Row],[Communities]],Sheet1!$B$2:$B$104,0)),"")</f>
        <v/>
      </c>
      <c r="U26">
        <f>SUM(SessionData[[#This Row],[MALE]:[MEN]])</f>
        <v>0</v>
      </c>
    </row>
    <row r="27">
      <c r="B27">
        <f>WEEKNUM(A27)</f>
        <v>0</v>
      </c>
      <c r="C27" t="str">
        <f>TEXT(A27,"mmm-yyyy")</f>
        <v>Jan-1900</v>
      </c>
      <c r="D27" t="str">
        <f>IFERROR(INDEX(Sheet1!$A$2:$A$104,MATCH(SessionData[[#This Row],[Communities]],Sheet1!$B$2:$B$104,0)),"")</f>
        <v/>
      </c>
      <c r="U27">
        <f>SUM(SessionData[[#This Row],[MALE]:[MEN]])</f>
        <v>0</v>
      </c>
    </row>
    <row r="28">
      <c r="B28">
        <f>WEEKNUM(A28)</f>
        <v>0</v>
      </c>
      <c r="C28" t="str">
        <f>TEXT(A28,"mmm-yyyy")</f>
        <v>Jan-1900</v>
      </c>
      <c r="D28" t="str">
        <f>IFERROR(INDEX(Sheet1!$A$2:$A$104,MATCH(SessionData[[#This Row],[Communities]],Sheet1!$B$2:$B$104,0)),"")</f>
        <v/>
      </c>
      <c r="U28">
        <f>SUM(SessionData[[#This Row],[MALE]:[MEN]])</f>
        <v>0</v>
      </c>
    </row>
    <row r="29">
      <c r="B29">
        <f>WEEKNUM(A29)</f>
        <v>0</v>
      </c>
      <c r="C29" t="str">
        <f>TEXT(A29,"mmm-yyyy")</f>
        <v>Jan-1900</v>
      </c>
      <c r="D29" t="str">
        <f>IFERROR(INDEX(Sheet1!$A$2:$A$104,MATCH(SessionData[[#This Row],[Communities]],Sheet1!$B$2:$B$104,0)),"")</f>
        <v/>
      </c>
      <c r="U29">
        <f>SUM(SessionData[[#This Row],[MALE]:[MEN]])</f>
        <v>0</v>
      </c>
    </row>
    <row r="30">
      <c r="B30">
        <f>WEEKNUM(A30)</f>
        <v>0</v>
      </c>
      <c r="C30" t="str">
        <f>TEXT(A30,"mmm-yyyy")</f>
        <v>Jan-1900</v>
      </c>
      <c r="D30" t="str">
        <f>IFERROR(INDEX(Sheet1!$A$2:$A$104,MATCH(SessionData[[#This Row],[Communities]],Sheet1!$B$2:$B$104,0)),"")</f>
        <v/>
      </c>
      <c r="U30">
        <f>SUM(SessionData[[#This Row],[MALE]:[MEN]])</f>
        <v>0</v>
      </c>
    </row>
    <row r="31">
      <c r="B31">
        <f>WEEKNUM(A31)</f>
        <v>0</v>
      </c>
      <c r="C31" t="str">
        <f>TEXT(A31,"mmm-yyyy")</f>
        <v>Jan-1900</v>
      </c>
      <c r="D31" t="str">
        <f>IFERROR(INDEX(Sheet1!$A$2:$A$104,MATCH(SessionData[[#This Row],[Communities]],Sheet1!$B$2:$B$104,0)),"")</f>
        <v/>
      </c>
      <c r="U31">
        <f>SUM(SessionData[[#This Row],[MALE]:[MEN]])</f>
        <v>0</v>
      </c>
    </row>
    <row r="32">
      <c r="B32">
        <f>WEEKNUM(A32)</f>
        <v>0</v>
      </c>
      <c r="C32" t="str">
        <f>TEXT(A32,"mmm-yyyy")</f>
        <v>Jan-1900</v>
      </c>
      <c r="D32" t="str">
        <f>IFERROR(INDEX(Sheet1!$A$2:$A$104,MATCH(SessionData[[#This Row],[Communities]],Sheet1!$B$2:$B$104,0)),"")</f>
        <v/>
      </c>
      <c r="U32">
        <f>SUM(SessionData[[#This Row],[MALE]:[MEN]])</f>
        <v>0</v>
      </c>
    </row>
    <row r="33">
      <c r="B33">
        <f>WEEKNUM(A33)</f>
        <v>0</v>
      </c>
      <c r="C33" t="str">
        <f>TEXT(A33,"mmm-yyyy")</f>
        <v>Jan-1900</v>
      </c>
      <c r="D33" t="str">
        <f>IFERROR(INDEX(Sheet1!$A$2:$A$104,MATCH(SessionData[[#This Row],[Communities]],Sheet1!$B$2:$B$104,0)),"")</f>
        <v/>
      </c>
      <c r="U33">
        <f>SUM(SessionData[[#This Row],[MALE]:[MEN]])</f>
        <v>0</v>
      </c>
    </row>
    <row r="34">
      <c r="B34">
        <f>WEEKNUM(A34)</f>
        <v>0</v>
      </c>
      <c r="C34" t="str">
        <f>TEXT(A34,"mmm-yyyy")</f>
        <v>Jan-1900</v>
      </c>
      <c r="D34" t="str">
        <f>IFERROR(INDEX(Sheet1!$A$2:$A$104,MATCH(SessionData[[#This Row],[Communities]],Sheet1!$B$2:$B$104,0)),"")</f>
        <v/>
      </c>
      <c r="U34">
        <f>SUM(SessionData[[#This Row],[MALE]:[MEN]])</f>
        <v>0</v>
      </c>
    </row>
    <row r="35">
      <c r="B35">
        <f>WEEKNUM(A35)</f>
        <v>0</v>
      </c>
      <c r="C35" t="str">
        <f>TEXT(A35,"mmm-yyyy")</f>
        <v>Jan-1900</v>
      </c>
      <c r="D35" t="str">
        <f>IFERROR(INDEX(Sheet1!$A$2:$A$104,MATCH(SessionData[[#This Row],[Communities]],Sheet1!$B$2:$B$104,0)),"")</f>
        <v/>
      </c>
      <c r="U35">
        <f>SUM(SessionData[[#This Row],[MALE]:[MEN]])</f>
        <v>0</v>
      </c>
    </row>
    <row r="36">
      <c r="B36">
        <f>WEEKNUM(A36)</f>
        <v>0</v>
      </c>
      <c r="C36" t="str">
        <f>TEXT(A36,"mmm-yyyy")</f>
        <v>Jan-1900</v>
      </c>
      <c r="D36" t="str">
        <f>IFERROR(INDEX(Sheet1!$A$2:$A$104,MATCH(SessionData[[#This Row],[Communities]],Sheet1!$B$2:$B$104,0)),"")</f>
        <v/>
      </c>
      <c r="U36">
        <f>SUM(SessionData[[#This Row],[MALE]:[MEN]])</f>
        <v>0</v>
      </c>
    </row>
    <row r="37">
      <c r="B37">
        <f>WEEKNUM(A37)</f>
        <v>0</v>
      </c>
      <c r="C37" t="str">
        <f>TEXT(A37,"mmm-yyyy")</f>
        <v>Jan-1900</v>
      </c>
      <c r="D37" t="str">
        <f>IFERROR(INDEX(Sheet1!$A$2:$A$104,MATCH(SessionData[[#This Row],[Communities]],Sheet1!$B$2:$B$104,0)),"")</f>
        <v/>
      </c>
      <c r="U37">
        <f>SUM(SessionData[[#This Row],[MALE]:[MEN]])</f>
        <v>0</v>
      </c>
    </row>
    <row r="38">
      <c r="B38">
        <f>WEEKNUM(A38)</f>
        <v>0</v>
      </c>
      <c r="C38" t="str">
        <f>TEXT(A38,"mmm-yyyy")</f>
        <v>Jan-1900</v>
      </c>
      <c r="D38" t="str">
        <f>IFERROR(INDEX(Sheet1!$A$2:$A$104,MATCH(SessionData[[#This Row],[Communities]],Sheet1!$B$2:$B$104,0)),"")</f>
        <v/>
      </c>
      <c r="U38">
        <f>SUM(SessionData[[#This Row],[MALE]:[MEN]])</f>
        <v>0</v>
      </c>
    </row>
    <row r="39">
      <c r="B39">
        <f>WEEKNUM(A39)</f>
        <v>0</v>
      </c>
      <c r="C39" t="str">
        <f>TEXT(A39,"mmm-yyyy")</f>
        <v>Jan-1900</v>
      </c>
      <c r="D39" t="str">
        <f>IFERROR(INDEX(Sheet1!$A$2:$A$104,MATCH(SessionData[[#This Row],[Communities]],Sheet1!$B$2:$B$104,0)),"")</f>
        <v/>
      </c>
      <c r="U39">
        <f>SUM(SessionData[[#This Row],[MALE]:[MEN]])</f>
        <v>0</v>
      </c>
    </row>
    <row r="40">
      <c r="B40">
        <f>WEEKNUM(A40)</f>
        <v>0</v>
      </c>
      <c r="C40" t="str">
        <f>TEXT(A40,"mmm-yyyy")</f>
        <v>Jan-1900</v>
      </c>
      <c r="D40" t="str">
        <f>IFERROR(INDEX(Sheet1!$A$2:$A$104,MATCH(SessionData[[#This Row],[Communities]],Sheet1!$B$2:$B$104,0)),"")</f>
        <v/>
      </c>
      <c r="U40">
        <f>SUM(SessionData[[#This Row],[MALE]:[MEN]])</f>
        <v>0</v>
      </c>
    </row>
    <row r="41">
      <c r="B41">
        <f>WEEKNUM(A41)</f>
        <v>0</v>
      </c>
      <c r="C41" t="str">
        <f>TEXT(A41,"mmm-yyyy")</f>
        <v>Jan-1900</v>
      </c>
      <c r="D41" t="str">
        <f>IFERROR(INDEX(Sheet1!$A$2:$A$104,MATCH(SessionData[[#This Row],[Communities]],Sheet1!$B$2:$B$104,0)),"")</f>
        <v/>
      </c>
      <c r="U41">
        <f>SUM(SessionData[[#This Row],[MALE]:[MEN]])</f>
        <v>0</v>
      </c>
    </row>
    <row r="42">
      <c r="B42">
        <f>WEEKNUM(A42)</f>
        <v>0</v>
      </c>
      <c r="C42" t="str">
        <f>TEXT(A42,"mmm-yyyy")</f>
        <v>Jan-1900</v>
      </c>
      <c r="D42" t="str">
        <f>IFERROR(INDEX(Sheet1!$A$2:$A$104,MATCH(SessionData[[#This Row],[Communities]],Sheet1!$B$2:$B$104,0)),"")</f>
        <v/>
      </c>
      <c r="U42">
        <f>SUM(SessionData[[#This Row],[MALE]:[MEN]])</f>
        <v>0</v>
      </c>
    </row>
    <row r="43">
      <c r="B43">
        <f>WEEKNUM(A43)</f>
        <v>0</v>
      </c>
      <c r="C43" t="str">
        <f>TEXT(A43,"mmm-yyyy")</f>
        <v>Jan-1900</v>
      </c>
      <c r="D43" t="str">
        <f>IFERROR(INDEX(Sheet1!$A$2:$A$104,MATCH(SessionData[[#This Row],[Communities]],Sheet1!$B$2:$B$104,0)),"")</f>
        <v/>
      </c>
      <c r="U43">
        <f>SUM(SessionData[[#This Row],[MALE]:[MEN]])</f>
        <v>0</v>
      </c>
    </row>
    <row r="44">
      <c r="B44">
        <f>WEEKNUM(A44)</f>
        <v>0</v>
      </c>
      <c r="C44" t="str">
        <f>TEXT(A44,"mmm-yyyy")</f>
        <v>Jan-1900</v>
      </c>
      <c r="D44" t="str">
        <f>IFERROR(INDEX(Sheet1!$A$2:$A$104,MATCH(SessionData[[#This Row],[Communities]],Sheet1!$B$2:$B$104,0)),"")</f>
        <v/>
      </c>
      <c r="U44">
        <f>SUM(SessionData[[#This Row],[MALE]:[MEN]])</f>
        <v>0</v>
      </c>
    </row>
    <row r="45">
      <c r="B45">
        <f>WEEKNUM(A45)</f>
        <v>0</v>
      </c>
      <c r="C45" t="str">
        <f>TEXT(A45,"mmm-yyyy")</f>
        <v>Jan-1900</v>
      </c>
      <c r="D45" t="str">
        <f>IFERROR(INDEX(Sheet1!$A$2:$A$104,MATCH(SessionData[[#This Row],[Communities]],Sheet1!$B$2:$B$104,0)),"")</f>
        <v/>
      </c>
      <c r="U45">
        <f>SUM(SessionData[[#This Row],[MALE]:[MEN]])</f>
        <v>0</v>
      </c>
    </row>
    <row r="46">
      <c r="B46">
        <f>WEEKNUM(A46)</f>
        <v>0</v>
      </c>
      <c r="C46" t="str">
        <f>TEXT(A46,"mmm-yyyy")</f>
        <v>Jan-1900</v>
      </c>
      <c r="D46" t="str">
        <f>IFERROR(INDEX(Sheet1!$A$2:$A$104,MATCH(SessionData[[#This Row],[Communities]],Sheet1!$B$2:$B$104,0)),"")</f>
        <v/>
      </c>
      <c r="U46">
        <f>SUM(SessionData[[#This Row],[MALE]:[MEN]])</f>
        <v>0</v>
      </c>
    </row>
    <row r="47">
      <c r="B47">
        <f>WEEKNUM(A47)</f>
        <v>0</v>
      </c>
      <c r="C47" t="str">
        <f>TEXT(A47,"mmm-yyyy")</f>
        <v>Jan-1900</v>
      </c>
      <c r="D47" t="str">
        <f>IFERROR(INDEX(Sheet1!$A$2:$A$104,MATCH(SessionData[[#This Row],[Communities]],Sheet1!$B$2:$B$104,0)),"")</f>
        <v/>
      </c>
      <c r="U47">
        <f>SUM(SessionData[[#This Row],[MALE]:[MEN]])</f>
        <v>0</v>
      </c>
    </row>
    <row r="48">
      <c r="B48">
        <f>WEEKNUM(A48)</f>
        <v>0</v>
      </c>
      <c r="C48" t="str">
        <f>TEXT(A48,"mmm-yyyy")</f>
        <v>Jan-1900</v>
      </c>
      <c r="D48" t="str">
        <f>IFERROR(INDEX(Sheet1!$A$2:$A$104,MATCH(SessionData[[#This Row],[Communities]],Sheet1!$B$2:$B$104,0)),"")</f>
        <v/>
      </c>
      <c r="U48">
        <f>SUM(SessionData[[#This Row],[MALE]:[MEN]])</f>
        <v>0</v>
      </c>
    </row>
    <row r="49">
      <c r="B49">
        <f>WEEKNUM(A49)</f>
        <v>0</v>
      </c>
      <c r="C49" t="str">
        <f>TEXT(A49,"mmm-yyyy")</f>
        <v>Jan-1900</v>
      </c>
      <c r="D49" t="str">
        <f>IFERROR(INDEX(Sheet1!$A$2:$A$104,MATCH(SessionData[[#This Row],[Communities]],Sheet1!$B$2:$B$104,0)),"")</f>
        <v/>
      </c>
      <c r="U49">
        <f>SUM(SessionData[[#This Row],[MALE]:[MEN]])</f>
        <v>0</v>
      </c>
    </row>
    <row r="50">
      <c r="B50">
        <f>WEEKNUM(A50)</f>
        <v>0</v>
      </c>
      <c r="C50" t="str">
        <f>TEXT(A50,"mmm-yyyy")</f>
        <v>Jan-1900</v>
      </c>
      <c r="D50" t="str">
        <f>IFERROR(INDEX(Sheet1!$A$2:$A$104,MATCH(SessionData[[#This Row],[Communities]],Sheet1!$B$2:$B$104,0)),"")</f>
        <v/>
      </c>
      <c r="U50">
        <f>SUM(SessionData[[#This Row],[MALE]:[MEN]])</f>
        <v>0</v>
      </c>
    </row>
    <row r="51">
      <c r="B51">
        <f>WEEKNUM(A51)</f>
        <v>0</v>
      </c>
      <c r="C51" t="str">
        <f>TEXT(A51,"mmm-yyyy")</f>
        <v>Jan-1900</v>
      </c>
      <c r="D51" t="str">
        <f>IFERROR(INDEX(Sheet1!$A$2:$A$104,MATCH(SessionData[[#This Row],[Communities]],Sheet1!$B$2:$B$104,0)),"")</f>
        <v/>
      </c>
      <c r="U51">
        <f>SUM(SessionData[[#This Row],[MALE]:[MEN]])</f>
        <v>0</v>
      </c>
    </row>
    <row r="52">
      <c r="B52">
        <f>WEEKNUM(A52)</f>
        <v>0</v>
      </c>
      <c r="C52" t="str">
        <f>TEXT(A52,"mmm-yyyy")</f>
        <v>Jan-1900</v>
      </c>
      <c r="D52" t="str">
        <f>IFERROR(INDEX(Sheet1!$A$2:$A$104,MATCH(SessionData[[#This Row],[Communities]],Sheet1!$B$2:$B$104,0)),"")</f>
        <v/>
      </c>
      <c r="U52">
        <f>SUM(SessionData[[#This Row],[MALE]:[MEN]])</f>
        <v>0</v>
      </c>
    </row>
    <row r="53">
      <c r="B53">
        <f>WEEKNUM(A53)</f>
        <v>0</v>
      </c>
      <c r="C53" t="str">
        <f>TEXT(A53,"mmm-yyyy")</f>
        <v>Jan-1900</v>
      </c>
      <c r="D53" t="str">
        <f>IFERROR(INDEX(Sheet1!$A$2:$A$104,MATCH(SessionData[[#This Row],[Communities]],Sheet1!$B$2:$B$104,0)),"")</f>
        <v/>
      </c>
      <c r="U53">
        <f>SUM(SessionData[[#This Row],[MALE]:[MEN]])</f>
        <v>0</v>
      </c>
    </row>
    <row r="54">
      <c r="B54">
        <f>WEEKNUM(A54)</f>
        <v>0</v>
      </c>
      <c r="C54" t="str">
        <f>TEXT(A54,"mmm-yyyy")</f>
        <v>Jan-1900</v>
      </c>
      <c r="D54" t="str">
        <f>IFERROR(INDEX(Sheet1!$A$2:$A$104,MATCH(SessionData[[#This Row],[Communities]],Sheet1!$B$2:$B$104,0)),"")</f>
        <v/>
      </c>
      <c r="U54">
        <f>SUM(SessionData[[#This Row],[MALE]:[MEN]])</f>
        <v>0</v>
      </c>
    </row>
    <row r="55">
      <c r="B55">
        <f>WEEKNUM(A55)</f>
        <v>0</v>
      </c>
      <c r="C55" t="str">
        <f>TEXT(A55,"mmm-yyyy")</f>
        <v>Jan-1900</v>
      </c>
      <c r="D55" t="str">
        <f>IFERROR(INDEX(Sheet1!$A$2:$A$104,MATCH(SessionData[[#This Row],[Communities]],Sheet1!$B$2:$B$104,0)),"")</f>
        <v/>
      </c>
      <c r="U55">
        <f>SUM(SessionData[[#This Row],[MALE]:[MEN]])</f>
        <v>0</v>
      </c>
    </row>
    <row r="56">
      <c r="B56">
        <f>WEEKNUM(A56)</f>
        <v>0</v>
      </c>
      <c r="C56" t="str">
        <f>TEXT(A56,"mmm-yyyy")</f>
        <v>Jan-1900</v>
      </c>
      <c r="D56" t="str">
        <f>IFERROR(INDEX(Sheet1!$A$2:$A$104,MATCH(SessionData[[#This Row],[Communities]],Sheet1!$B$2:$B$104,0)),"")</f>
        <v/>
      </c>
      <c r="U56">
        <f>SUM(SessionData[[#This Row],[MALE]:[MEN]])</f>
        <v>0</v>
      </c>
    </row>
    <row r="57">
      <c r="B57">
        <f>WEEKNUM(A57)</f>
        <v>0</v>
      </c>
      <c r="C57" t="str">
        <f>TEXT(A57,"mmm-yyyy")</f>
        <v>Jan-1900</v>
      </c>
      <c r="D57" t="str">
        <f>IFERROR(INDEX(Sheet1!$A$2:$A$104,MATCH(SessionData[[#This Row],[Communities]],Sheet1!$B$2:$B$104,0)),"")</f>
        <v/>
      </c>
      <c r="U57">
        <f>SUM(SessionData[[#This Row],[MALE]:[MEN]])</f>
        <v>0</v>
      </c>
    </row>
    <row r="58">
      <c r="B58">
        <f>WEEKNUM(A58)</f>
        <v>0</v>
      </c>
      <c r="C58" t="str">
        <f>TEXT(A58,"mmm-yyyy")</f>
        <v>Jan-1900</v>
      </c>
      <c r="D58" t="str">
        <f>IFERROR(INDEX(Sheet1!$A$2:$A$104,MATCH(SessionData[[#This Row],[Communities]],Sheet1!$B$2:$B$104,0)),"")</f>
        <v/>
      </c>
      <c r="U58">
        <f>SUM(SessionData[[#This Row],[MALE]:[MEN]])</f>
        <v>0</v>
      </c>
    </row>
    <row r="59">
      <c r="B59">
        <f>WEEKNUM(A59)</f>
        <v>0</v>
      </c>
      <c r="C59" t="str">
        <f>TEXT(A59,"mmm-yyyy")</f>
        <v>Jan-1900</v>
      </c>
      <c r="D59" t="str">
        <f>IFERROR(INDEX(Sheet1!$A$2:$A$104,MATCH(SessionData[[#This Row],[Communities]],Sheet1!$B$2:$B$104,0)),"")</f>
        <v/>
      </c>
      <c r="U59">
        <f>SUM(SessionData[[#This Row],[MALE]:[MEN]])</f>
        <v>0</v>
      </c>
    </row>
    <row r="60">
      <c r="B60">
        <f>WEEKNUM(A60)</f>
        <v>0</v>
      </c>
      <c r="C60" t="str">
        <f>TEXT(A60,"mmm-yyyy")</f>
        <v>Jan-1900</v>
      </c>
      <c r="D60" t="str">
        <f>IFERROR(INDEX(Sheet1!$A$2:$A$104,MATCH(SessionData[[#This Row],[Communities]],Sheet1!$B$2:$B$104,0)),"")</f>
        <v/>
      </c>
      <c r="U60">
        <f>SUM(SessionData[[#This Row],[MALE]:[MEN]])</f>
        <v>0</v>
      </c>
    </row>
    <row r="61">
      <c r="B61">
        <f>WEEKNUM(A61)</f>
        <v>0</v>
      </c>
      <c r="C61" t="str">
        <f>TEXT(A61,"mmm-yyyy")</f>
        <v>Jan-1900</v>
      </c>
      <c r="D61" t="str">
        <f>IFERROR(INDEX(Sheet1!$A$2:$A$104,MATCH(SessionData[[#This Row],[Communities]],Sheet1!$B$2:$B$104,0)),"")</f>
        <v/>
      </c>
      <c r="U61">
        <f>SUM(SessionData[[#This Row],[MALE]:[MEN]])</f>
        <v>0</v>
      </c>
    </row>
    <row r="62">
      <c r="B62">
        <f>WEEKNUM(A62)</f>
        <v>0</v>
      </c>
      <c r="C62" t="str">
        <f>TEXT(A62,"mmm-yyyy")</f>
        <v>Jan-1900</v>
      </c>
      <c r="D62" t="str">
        <f>IFERROR(INDEX(Sheet1!$A$2:$A$104,MATCH(SessionData[[#This Row],[Communities]],Sheet1!$B$2:$B$104,0)),"")</f>
        <v/>
      </c>
      <c r="U62">
        <f>SUM(SessionData[[#This Row],[MALE]:[MEN]])</f>
        <v>0</v>
      </c>
    </row>
    <row r="63">
      <c r="B63">
        <f>WEEKNUM(A63)</f>
        <v>0</v>
      </c>
      <c r="C63" t="str">
        <f>TEXT(A63,"mmm-yyyy")</f>
        <v>Jan-1900</v>
      </c>
      <c r="D63" t="str">
        <f>IFERROR(INDEX(Sheet1!$A$2:$A$104,MATCH(SessionData[[#This Row],[Communities]],Sheet1!$B$2:$B$104,0)),"")</f>
        <v/>
      </c>
      <c r="U63">
        <f>SUM(SessionData[[#This Row],[MALE]:[MEN]])</f>
        <v>0</v>
      </c>
    </row>
    <row r="64">
      <c r="B64">
        <f>WEEKNUM(A64)</f>
        <v>0</v>
      </c>
      <c r="C64" t="str">
        <f>TEXT(A64,"mmm-yyyy")</f>
        <v>Jan-1900</v>
      </c>
      <c r="D64" t="str">
        <f>IFERROR(INDEX(Sheet1!$A$2:$A$104,MATCH(SessionData[[#This Row],[Communities]],Sheet1!$B$2:$B$104,0)),"")</f>
        <v/>
      </c>
      <c r="U64">
        <f>SUM(SessionData[[#This Row],[MALE]:[MEN]])</f>
        <v>0</v>
      </c>
    </row>
    <row r="65">
      <c r="B65">
        <f>WEEKNUM(A65)</f>
        <v>0</v>
      </c>
      <c r="C65" t="str">
        <f>TEXT(A65,"mmm-yyyy")</f>
        <v>Jan-1900</v>
      </c>
      <c r="D65" t="str">
        <f>IFERROR(INDEX(Sheet1!$A$2:$A$104,MATCH(SessionData[[#This Row],[Communities]],Sheet1!$B$2:$B$104,0)),"")</f>
        <v/>
      </c>
      <c r="U65">
        <f>SUM(SessionData[[#This Row],[MALE]:[MEN]])</f>
        <v>0</v>
      </c>
    </row>
    <row r="66">
      <c r="B66">
        <f>WEEKNUM(A66)</f>
        <v>0</v>
      </c>
      <c r="C66" t="str">
        <f>TEXT(A66,"mmm-yyyy")</f>
        <v>Jan-1900</v>
      </c>
      <c r="D66" t="str">
        <f>IFERROR(INDEX(Sheet1!$A$2:$A$104,MATCH(SessionData[[#This Row],[Communities]],Sheet1!$B$2:$B$104,0)),"")</f>
        <v/>
      </c>
      <c r="U66">
        <f>SUM(SessionData[[#This Row],[MALE]:[MEN]])</f>
        <v>0</v>
      </c>
    </row>
    <row r="67">
      <c r="B67">
        <f>WEEKNUM(A67)</f>
        <v>0</v>
      </c>
      <c r="C67" t="str">
        <f>TEXT(A67,"mmm-yyyy")</f>
        <v>Jan-1900</v>
      </c>
      <c r="D67" t="str">
        <f>IFERROR(INDEX(Sheet1!$A$2:$A$104,MATCH(SessionData[[#This Row],[Communities]],Sheet1!$B$2:$B$104,0)),"")</f>
        <v/>
      </c>
      <c r="U67">
        <f>SUM(SessionData[[#This Row],[MALE]:[MEN]])</f>
        <v>0</v>
      </c>
    </row>
    <row r="68">
      <c r="B68">
        <f>WEEKNUM(A68)</f>
        <v>0</v>
      </c>
      <c r="C68" t="str">
        <f>TEXT(A68,"mmm-yyyy")</f>
        <v>Jan-1900</v>
      </c>
      <c r="D68" t="str">
        <f>IFERROR(INDEX(Sheet1!$A$2:$A$104,MATCH(SessionData[[#This Row],[Communities]],Sheet1!$B$2:$B$104,0)),"")</f>
        <v/>
      </c>
      <c r="U68">
        <f>SUM(SessionData[[#This Row],[MALE]:[MEN]])</f>
        <v>0</v>
      </c>
    </row>
    <row r="69">
      <c r="B69">
        <f>WEEKNUM(A69)</f>
        <v>0</v>
      </c>
      <c r="C69" t="str">
        <f>TEXT(A69,"mmm-yyyy")</f>
        <v>Jan-1900</v>
      </c>
      <c r="D69" t="str">
        <f>IFERROR(INDEX(Sheet1!$A$2:$A$104,MATCH(SessionData[[#This Row],[Communities]],Sheet1!$B$2:$B$104,0)),"")</f>
        <v/>
      </c>
      <c r="U69">
        <f>SUM(SessionData[[#This Row],[MALE]:[MEN]])</f>
        <v>0</v>
      </c>
    </row>
    <row r="70">
      <c r="B70">
        <f>WEEKNUM(A70)</f>
        <v>0</v>
      </c>
      <c r="C70" t="str">
        <f>TEXT(A70,"mmm-yyyy")</f>
        <v>Jan-1900</v>
      </c>
      <c r="D70" t="str">
        <f>IFERROR(INDEX(Sheet1!$A$2:$A$104,MATCH(SessionData[[#This Row],[Communities]],Sheet1!$B$2:$B$104,0)),"")</f>
        <v/>
      </c>
      <c r="U70">
        <f>SUM(SessionData[[#This Row],[MALE]:[MEN]])</f>
        <v>0</v>
      </c>
    </row>
    <row r="71">
      <c r="B71">
        <f>WEEKNUM(A71)</f>
        <v>0</v>
      </c>
      <c r="C71" t="str">
        <f>TEXT(A71,"mmm-yyyy")</f>
        <v>Jan-1900</v>
      </c>
      <c r="D71" t="str">
        <f>IFERROR(INDEX(Sheet1!$A$2:$A$104,MATCH(SessionData[[#This Row],[Communities]],Sheet1!$B$2:$B$104,0)),"")</f>
        <v/>
      </c>
      <c r="U71">
        <f>SUM(SessionData[[#This Row],[MALE]:[MEN]])</f>
        <v>0</v>
      </c>
    </row>
    <row r="72">
      <c r="B72">
        <f>WEEKNUM(A72)</f>
        <v>0</v>
      </c>
      <c r="C72" t="str">
        <f>TEXT(A72,"mmm-yyyy")</f>
        <v>Jan-1900</v>
      </c>
      <c r="D72" t="str">
        <f>IFERROR(INDEX(Sheet1!$A$2:$A$104,MATCH(SessionData[[#This Row],[Communities]],Sheet1!$B$2:$B$104,0)),"")</f>
        <v/>
      </c>
      <c r="U72">
        <f>SUM(SessionData[[#This Row],[MALE]:[MEN]])</f>
        <v>0</v>
      </c>
    </row>
    <row r="73">
      <c r="B73">
        <f>WEEKNUM(A73)</f>
        <v>0</v>
      </c>
      <c r="C73" t="str">
        <f>TEXT(A73,"mmm-yyyy")</f>
        <v>Jan-1900</v>
      </c>
      <c r="D73" t="str">
        <f>IFERROR(INDEX(Sheet1!$A$2:$A$104,MATCH(SessionData[[#This Row],[Communities]],Sheet1!$B$2:$B$104,0)),"")</f>
        <v/>
      </c>
      <c r="U73">
        <f>SUM(SessionData[[#This Row],[MALE]:[MEN]])</f>
        <v>0</v>
      </c>
    </row>
    <row r="74">
      <c r="B74">
        <f>WEEKNUM(A74)</f>
        <v>0</v>
      </c>
      <c r="C74" t="str">
        <f>TEXT(A74,"mmm-yyyy")</f>
        <v>Jan-1900</v>
      </c>
      <c r="D74" t="str">
        <f>IFERROR(INDEX(Sheet1!$A$2:$A$104,MATCH(SessionData[[#This Row],[Communities]],Sheet1!$B$2:$B$104,0)),"")</f>
        <v/>
      </c>
      <c r="U74">
        <f>SUM(SessionData[[#This Row],[MALE]:[MEN]])</f>
        <v>0</v>
      </c>
    </row>
    <row r="75">
      <c r="B75">
        <f>WEEKNUM(A75)</f>
        <v>0</v>
      </c>
      <c r="C75" t="str">
        <f>TEXT(A75,"mmm-yyyy")</f>
        <v>Jan-1900</v>
      </c>
      <c r="D75" t="str">
        <f>IFERROR(INDEX(Sheet1!$A$2:$A$104,MATCH(SessionData[[#This Row],[Communities]],Sheet1!$B$2:$B$104,0)),"")</f>
        <v/>
      </c>
      <c r="U75">
        <f>SUM(SessionData[[#This Row],[MALE]:[MEN]])</f>
        <v>0</v>
      </c>
    </row>
    <row r="76">
      <c r="B76">
        <f>WEEKNUM(A76)</f>
        <v>0</v>
      </c>
      <c r="C76" t="str">
        <f>TEXT(A76,"mmm-yyyy")</f>
        <v>Jan-1900</v>
      </c>
      <c r="D76" t="str">
        <f>IFERROR(INDEX(Sheet1!$A$2:$A$104,MATCH(SessionData[[#This Row],[Communities]],Sheet1!$B$2:$B$104,0)),"")</f>
        <v/>
      </c>
      <c r="U76">
        <f>SUM(SessionData[[#This Row],[MALE]:[MEN]])</f>
        <v>0</v>
      </c>
    </row>
    <row r="77">
      <c r="B77">
        <f>WEEKNUM(A77)</f>
        <v>0</v>
      </c>
      <c r="C77" t="str">
        <f>TEXT(A77,"mmm-yyyy")</f>
        <v>Jan-1900</v>
      </c>
      <c r="D77" t="str">
        <f>IFERROR(INDEX(Sheet1!$A$2:$A$104,MATCH(SessionData[[#This Row],[Communities]],Sheet1!$B$2:$B$104,0)),"")</f>
        <v/>
      </c>
      <c r="U77">
        <f>SUM(SessionData[[#This Row],[MALE]:[MEN]])</f>
        <v>0</v>
      </c>
    </row>
    <row r="78">
      <c r="B78">
        <f>WEEKNUM(A78)</f>
        <v>0</v>
      </c>
      <c r="C78" t="str">
        <f>TEXT(A78,"mmm-yyyy")</f>
        <v>Jan-1900</v>
      </c>
      <c r="D78" t="str">
        <f>IFERROR(INDEX(Sheet1!$A$2:$A$104,MATCH(SessionData[[#This Row],[Communities]],Sheet1!$B$2:$B$104,0)),"")</f>
        <v/>
      </c>
      <c r="U78">
        <f>SUM(SessionData[[#This Row],[MALE]:[MEN]])</f>
        <v>0</v>
      </c>
    </row>
    <row r="79">
      <c r="B79">
        <f>WEEKNUM(A79)</f>
        <v>0</v>
      </c>
      <c r="C79" t="str">
        <f>TEXT(A79,"mmm-yyyy")</f>
        <v>Jan-1900</v>
      </c>
      <c r="D79" t="str">
        <f>IFERROR(INDEX(Sheet1!$A$2:$A$104,MATCH(SessionData[[#This Row],[Communities]],Sheet1!$B$2:$B$104,0)),"")</f>
        <v/>
      </c>
      <c r="U79">
        <f>SUM(SessionData[[#This Row],[MALE]:[MEN]])</f>
        <v>0</v>
      </c>
    </row>
    <row r="80">
      <c r="B80">
        <f>WEEKNUM(A80)</f>
        <v>0</v>
      </c>
      <c r="C80" t="str">
        <f>TEXT(A80,"mmm-yyyy")</f>
        <v>Jan-1900</v>
      </c>
      <c r="D80" t="str">
        <f>IFERROR(INDEX(Sheet1!$A$2:$A$104,MATCH(SessionData[[#This Row],[Communities]],Sheet1!$B$2:$B$104,0)),"")</f>
        <v/>
      </c>
      <c r="U80">
        <f>SUM(SessionData[[#This Row],[MALE]:[MEN]])</f>
        <v>0</v>
      </c>
    </row>
    <row r="81">
      <c r="B81">
        <f>WEEKNUM(A81)</f>
        <v>0</v>
      </c>
      <c r="C81" t="str">
        <f>TEXT(A81,"mmm-yyyy")</f>
        <v>Jan-1900</v>
      </c>
      <c r="D81" t="str">
        <f>IFERROR(INDEX(Sheet1!$A$2:$A$104,MATCH(SessionData[[#This Row],[Communities]],Sheet1!$B$2:$B$104,0)),"")</f>
        <v/>
      </c>
      <c r="U81">
        <f>SUM(SessionData[[#This Row],[MALE]:[MEN]])</f>
        <v>0</v>
      </c>
    </row>
    <row r="82">
      <c r="B82">
        <f>WEEKNUM(A82)</f>
        <v>0</v>
      </c>
      <c r="C82" t="str">
        <f>TEXT(A82,"mmm-yyyy")</f>
        <v>Jan-1900</v>
      </c>
      <c r="D82" t="str">
        <f>IFERROR(INDEX(Sheet1!$A$2:$A$104,MATCH(SessionData[[#This Row],[Communities]],Sheet1!$B$2:$B$104,0)),"")</f>
        <v/>
      </c>
      <c r="U82">
        <f>SUM(SessionData[[#This Row],[MALE]:[MEN]])</f>
        <v>0</v>
      </c>
    </row>
    <row r="83">
      <c r="B83">
        <f>WEEKNUM(A83)</f>
        <v>0</v>
      </c>
      <c r="C83" t="str">
        <f>TEXT(A83,"mmm-yyyy")</f>
        <v>Jan-1900</v>
      </c>
      <c r="D83" t="str">
        <f>IFERROR(INDEX(Sheet1!$A$2:$A$104,MATCH(SessionData[[#This Row],[Communities]],Sheet1!$B$2:$B$104,0)),"")</f>
        <v/>
      </c>
      <c r="U83">
        <f>SUM(SessionData[[#This Row],[MALE]:[MEN]])</f>
        <v>0</v>
      </c>
    </row>
    <row r="84">
      <c r="B84">
        <f>WEEKNUM(A84)</f>
        <v>0</v>
      </c>
      <c r="C84" t="str">
        <f>TEXT(A84,"mmm-yyyy")</f>
        <v>Jan-1900</v>
      </c>
      <c r="D84" t="str">
        <f>IFERROR(INDEX(Sheet1!$A$2:$A$104,MATCH(SessionData[[#This Row],[Communities]],Sheet1!$B$2:$B$104,0)),"")</f>
        <v/>
      </c>
      <c r="U84">
        <f>SUM(SessionData[[#This Row],[MALE]:[MEN]])</f>
        <v>0</v>
      </c>
    </row>
    <row r="85">
      <c r="B85">
        <f>WEEKNUM(A85)</f>
        <v>0</v>
      </c>
      <c r="C85" t="str">
        <f>TEXT(A85,"mmm-yyyy")</f>
        <v>Jan-1900</v>
      </c>
      <c r="D85" t="str">
        <f>IFERROR(INDEX(Sheet1!$A$2:$A$104,MATCH(SessionData[[#This Row],[Communities]],Sheet1!$B$2:$B$104,0)),"")</f>
        <v/>
      </c>
      <c r="U85">
        <f>SUM(SessionData[[#This Row],[MALE]:[MEN]])</f>
        <v>0</v>
      </c>
    </row>
    <row r="86">
      <c r="B86">
        <f>WEEKNUM(A86)</f>
        <v>0</v>
      </c>
      <c r="C86" t="str">
        <f>TEXT(A86,"mmm-yyyy")</f>
        <v>Jan-1900</v>
      </c>
      <c r="D86" t="str">
        <f>IFERROR(INDEX(Sheet1!$A$2:$A$104,MATCH(SessionData[[#This Row],[Communities]],Sheet1!$B$2:$B$104,0)),"")</f>
        <v/>
      </c>
      <c r="U86">
        <f>SUM(SessionData[[#This Row],[MALE]:[MEN]])</f>
        <v>0</v>
      </c>
    </row>
    <row r="87">
      <c r="B87">
        <f>WEEKNUM(A87)</f>
        <v>0</v>
      </c>
      <c r="C87" t="str">
        <f>TEXT(A87,"mmm-yyyy")</f>
        <v>Jan-1900</v>
      </c>
      <c r="D87" t="str">
        <f>IFERROR(INDEX(Sheet1!$A$2:$A$104,MATCH(SessionData[[#This Row],[Communities]],Sheet1!$B$2:$B$104,0)),"")</f>
        <v/>
      </c>
      <c r="U87">
        <f>SUM(SessionData[[#This Row],[MALE]:[MEN]])</f>
        <v>0</v>
      </c>
    </row>
    <row r="88">
      <c r="B88">
        <f>WEEKNUM(A88)</f>
        <v>0</v>
      </c>
      <c r="C88" t="str">
        <f>TEXT(A88,"mmm-yyyy")</f>
        <v>Jan-1900</v>
      </c>
      <c r="D88" t="str">
        <f>IFERROR(INDEX(Sheet1!$A$2:$A$104,MATCH(SessionData[[#This Row],[Communities]],Sheet1!$B$2:$B$104,0)),"")</f>
        <v/>
      </c>
      <c r="U88">
        <f>SUM(SessionData[[#This Row],[MALE]:[MEN]])</f>
        <v>0</v>
      </c>
    </row>
    <row r="89">
      <c r="B89">
        <f>WEEKNUM(A89)</f>
        <v>0</v>
      </c>
      <c r="C89" t="str">
        <f>TEXT(A89,"mmm-yyyy")</f>
        <v>Jan-1900</v>
      </c>
      <c r="D89" t="str">
        <f>IFERROR(INDEX(Sheet1!$A$2:$A$104,MATCH(SessionData[[#This Row],[Communities]],Sheet1!$B$2:$B$104,0)),"")</f>
        <v/>
      </c>
      <c r="U89">
        <f>SUM(SessionData[[#This Row],[MALE]:[MEN]])</f>
        <v>0</v>
      </c>
    </row>
    <row r="90">
      <c r="B90">
        <f>WEEKNUM(A90)</f>
        <v>0</v>
      </c>
      <c r="C90" t="str">
        <f>TEXT(A90,"mmm-yyyy")</f>
        <v>Jan-1900</v>
      </c>
      <c r="D90" t="str">
        <f>IFERROR(INDEX(Sheet1!$A$2:$A$104,MATCH(SessionData[[#This Row],[Communities]],Sheet1!$B$2:$B$104,0)),"")</f>
        <v/>
      </c>
      <c r="U90">
        <f>SUM(SessionData[[#This Row],[MALE]:[MEN]])</f>
        <v>0</v>
      </c>
    </row>
    <row r="91">
      <c r="B91">
        <f>WEEKNUM(A91)</f>
        <v>0</v>
      </c>
      <c r="C91" t="str">
        <f>TEXT(A91,"mmm-yyyy")</f>
        <v>Jan-1900</v>
      </c>
      <c r="D91" t="str">
        <f>IFERROR(INDEX(Sheet1!$A$2:$A$104,MATCH(SessionData[[#This Row],[Communities]],Sheet1!$B$2:$B$104,0)),"")</f>
        <v/>
      </c>
      <c r="U91">
        <f>SUM(SessionData[[#This Row],[MALE]:[MEN]])</f>
        <v>0</v>
      </c>
    </row>
    <row r="92">
      <c r="B92">
        <f>WEEKNUM(A92)</f>
        <v>0</v>
      </c>
      <c r="C92" t="str">
        <f>TEXT(A92,"mmm-yyyy")</f>
        <v>Jan-1900</v>
      </c>
      <c r="D92" t="str">
        <f>IFERROR(INDEX(Sheet1!$A$2:$A$104,MATCH(SessionData[[#This Row],[Communities]],Sheet1!$B$2:$B$104,0)),"")</f>
        <v/>
      </c>
      <c r="U92">
        <f>SUM(SessionData[[#This Row],[MALE]:[MEN]])</f>
        <v>0</v>
      </c>
    </row>
    <row r="93">
      <c r="B93">
        <f>WEEKNUM(A93)</f>
        <v>0</v>
      </c>
      <c r="C93" t="str">
        <f>TEXT(A93,"mmm-yyyy")</f>
        <v>Jan-1900</v>
      </c>
      <c r="D93" t="str">
        <f>IFERROR(INDEX(Sheet1!$A$2:$A$104,MATCH(SessionData[[#This Row],[Communities]],Sheet1!$B$2:$B$104,0)),"")</f>
        <v/>
      </c>
      <c r="U93">
        <f>SUM(SessionData[[#This Row],[MALE]:[MEN]])</f>
        <v>0</v>
      </c>
    </row>
    <row r="94">
      <c r="B94">
        <f>WEEKNUM(A94)</f>
        <v>0</v>
      </c>
      <c r="C94" t="str">
        <f>TEXT(A94,"mmm-yyyy")</f>
        <v>Jan-1900</v>
      </c>
      <c r="D94" t="str">
        <f>IFERROR(INDEX(Sheet1!$A$2:$A$104,MATCH(SessionData[[#This Row],[Communities]],Sheet1!$B$2:$B$104,0)),"")</f>
        <v/>
      </c>
      <c r="U94">
        <f>SUM(SessionData[[#This Row],[MALE]:[MEN]])</f>
        <v>0</v>
      </c>
    </row>
    <row r="95">
      <c r="B95">
        <f>WEEKNUM(A95)</f>
        <v>0</v>
      </c>
      <c r="C95" t="str">
        <f>TEXT(A95,"mmm-yyyy")</f>
        <v>Jan-1900</v>
      </c>
      <c r="D95" t="str">
        <f>IFERROR(INDEX(Sheet1!$A$2:$A$104,MATCH(SessionData[[#This Row],[Communities]],Sheet1!$B$2:$B$104,0)),"")</f>
        <v/>
      </c>
      <c r="U95">
        <f>SUM(SessionData[[#This Row],[MALE]:[MEN]])</f>
        <v>0</v>
      </c>
    </row>
    <row r="96">
      <c r="B96">
        <f>WEEKNUM(A96)</f>
        <v>0</v>
      </c>
      <c r="C96" t="str">
        <f>TEXT(A96,"mmm-yyyy")</f>
        <v>Jan-1900</v>
      </c>
      <c r="D96" t="str">
        <f>IFERROR(INDEX(Sheet1!$A$2:$A$104,MATCH(SessionData[[#This Row],[Communities]],Sheet1!$B$2:$B$104,0)),"")</f>
        <v/>
      </c>
      <c r="U96">
        <f>SUM(SessionData[[#This Row],[MALE]:[MEN]])</f>
        <v>0</v>
      </c>
    </row>
    <row r="97">
      <c r="B97">
        <f>WEEKNUM(A97)</f>
        <v>0</v>
      </c>
      <c r="C97" t="str">
        <f>TEXT(A97,"mmm-yyyy")</f>
        <v>Jan-1900</v>
      </c>
      <c r="D97" t="str">
        <f>IFERROR(INDEX(Sheet1!$A$2:$A$104,MATCH(SessionData[[#This Row],[Communities]],Sheet1!$B$2:$B$104,0)),"")</f>
        <v/>
      </c>
      <c r="U97">
        <f>SUM(SessionData[[#This Row],[MALE]:[MEN]])</f>
        <v>0</v>
      </c>
    </row>
    <row r="98">
      <c r="B98">
        <f>WEEKNUM(A98)</f>
        <v>0</v>
      </c>
      <c r="C98" t="str">
        <f>TEXT(A98,"mmm-yyyy")</f>
        <v>Jan-1900</v>
      </c>
      <c r="D98" t="str">
        <f>IFERROR(INDEX(Sheet1!$A$2:$A$104,MATCH(SessionData[[#This Row],[Communities]],Sheet1!$B$2:$B$104,0)),"")</f>
        <v/>
      </c>
      <c r="U98">
        <f>SUM(SessionData[[#This Row],[MALE]:[MEN]])</f>
        <v>0</v>
      </c>
    </row>
    <row r="99">
      <c r="B99">
        <f>WEEKNUM(A99)</f>
        <v>0</v>
      </c>
      <c r="C99" t="str">
        <f>TEXT(A99,"mmm-yyyy")</f>
        <v>Jan-1900</v>
      </c>
      <c r="D99" t="str">
        <f>IFERROR(INDEX(Sheet1!$A$2:$A$104,MATCH(SessionData[[#This Row],[Communities]],Sheet1!$B$2:$B$104,0)),"")</f>
        <v/>
      </c>
      <c r="U99">
        <f>SUM(SessionData[[#This Row],[MALE]:[MEN]])</f>
        <v>0</v>
      </c>
    </row>
    <row r="100">
      <c r="B100">
        <f>WEEKNUM(A100)</f>
        <v>0</v>
      </c>
      <c r="C100" t="str">
        <f>TEXT(A100,"mmm-yyyy")</f>
        <v>Jan-1900</v>
      </c>
      <c r="D100" t="str">
        <f>IFERROR(INDEX(Sheet1!$A$2:$A$104,MATCH(SessionData[[#This Row],[Communities]],Sheet1!$B$2:$B$104,0)),"")</f>
        <v/>
      </c>
      <c r="U100">
        <f>SUM(SessionData[[#This Row],[MALE]:[MEN]])</f>
        <v>0</v>
      </c>
    </row>
    <row r="101">
      <c r="B101">
        <f>WEEKNUM(A101)</f>
        <v>0</v>
      </c>
      <c r="C101" t="str">
        <f>TEXT(A101,"mmm-yyyy")</f>
        <v>Jan-1900</v>
      </c>
      <c r="D101" t="str">
        <f>IFERROR(INDEX(Sheet1!$A$2:$A$104,MATCH(SessionData[[#This Row],[Communities]],Sheet1!$B$2:$B$104,0)),"")</f>
        <v/>
      </c>
      <c r="U101">
        <f>SUM(SessionData[[#This Row],[MALE]:[MEN]])</f>
        <v>0</v>
      </c>
    </row>
    <row r="102">
      <c r="B102">
        <f>WEEKNUM(A102)</f>
        <v>0</v>
      </c>
      <c r="C102" t="str">
        <f>TEXT(A102,"mmm-yyyy")</f>
        <v>Jan-1900</v>
      </c>
      <c r="D102" t="str">
        <f>IFERROR(INDEX(Sheet1!$A$2:$A$104,MATCH(SessionData[[#This Row],[Communities]],Sheet1!$B$2:$B$104,0)),"")</f>
        <v/>
      </c>
      <c r="U102">
        <f>SUM(SessionData[[#This Row],[MALE]:[MEN]])</f>
        <v>0</v>
      </c>
    </row>
    <row r="103">
      <c r="B103">
        <f>WEEKNUM(A103)</f>
        <v>0</v>
      </c>
      <c r="C103" t="str">
        <f>TEXT(A103,"mmm-yyyy")</f>
        <v>Jan-1900</v>
      </c>
      <c r="D103" t="str">
        <f>IFERROR(INDEX(Sheet1!$A$2:$A$104,MATCH(SessionData[[#This Row],[Communities]],Sheet1!$B$2:$B$104,0)),"")</f>
        <v/>
      </c>
      <c r="U103">
        <f>SUM(SessionData[[#This Row],[MALE]:[MEN]])</f>
        <v>0</v>
      </c>
    </row>
    <row r="104">
      <c r="B104">
        <f>WEEKNUM(A104)</f>
        <v>0</v>
      </c>
      <c r="C104" t="str">
        <f>TEXT(A104,"mmm-yyyy")</f>
        <v>Jan-1900</v>
      </c>
      <c r="D104" t="str">
        <f>IFERROR(INDEX(Sheet1!$A$2:$A$104,MATCH(SessionData[[#This Row],[Communities]],Sheet1!$B$2:$B$104,0)),"")</f>
        <v/>
      </c>
      <c r="U104">
        <f>SUM(SessionData[[#This Row],[MALE]:[MEN]])</f>
        <v>0</v>
      </c>
    </row>
    <row r="105">
      <c r="B105">
        <f>WEEKNUM(A105)</f>
        <v>0</v>
      </c>
      <c r="C105" t="str">
        <f>TEXT(A105,"mmm-yyyy")</f>
        <v>Jan-1900</v>
      </c>
      <c r="D105" t="str">
        <f>IFERROR(INDEX(Sheet1!$A$2:$A$104,MATCH(SessionData[[#This Row],[Communities]],Sheet1!$B$2:$B$104,0)),"")</f>
        <v/>
      </c>
      <c r="U105">
        <f>SUM(SessionData[[#This Row],[MALE]:[MEN]])</f>
        <v>0</v>
      </c>
    </row>
    <row r="106">
      <c r="B106">
        <f>WEEKNUM(A106)</f>
        <v>0</v>
      </c>
      <c r="C106" t="str">
        <f>TEXT(A106,"mmm-yyyy")</f>
        <v>Jan-1900</v>
      </c>
      <c r="D106" t="str">
        <f>IFERROR(INDEX(Sheet1!$A$2:$A$104,MATCH(SessionData[[#This Row],[Communities]],Sheet1!$B$2:$B$104,0)),"")</f>
        <v/>
      </c>
      <c r="U106">
        <f>SUM(SessionData[[#This Row],[MALE]:[MEN]])</f>
        <v>0</v>
      </c>
    </row>
    <row r="107">
      <c r="B107">
        <f>WEEKNUM(A107)</f>
        <v>0</v>
      </c>
      <c r="C107" t="str">
        <f>TEXT(A107,"mmm-yyyy")</f>
        <v>Jan-1900</v>
      </c>
      <c r="D107" t="str">
        <f>IFERROR(INDEX(Sheet1!$A$2:$A$104,MATCH(SessionData[[#This Row],[Communities]],Sheet1!$B$2:$B$104,0)),"")</f>
        <v/>
      </c>
      <c r="U107">
        <f>SUM(SessionData[[#This Row],[MALE]:[MEN]])</f>
        <v>0</v>
      </c>
    </row>
    <row r="108">
      <c r="B108">
        <f>WEEKNUM(A108)</f>
        <v>0</v>
      </c>
      <c r="C108" t="str">
        <f>TEXT(A108,"mmm-yyyy")</f>
        <v>Jan-1900</v>
      </c>
      <c r="D108" t="str">
        <f>IFERROR(INDEX(Sheet1!$A$2:$A$104,MATCH(SessionData[[#This Row],[Communities]],Sheet1!$B$2:$B$104,0)),"")</f>
        <v/>
      </c>
      <c r="U108">
        <f>SUM(SessionData[[#This Row],[MALE]:[MEN]])</f>
        <v>0</v>
      </c>
    </row>
    <row r="109">
      <c r="B109">
        <f>WEEKNUM(A109)</f>
        <v>0</v>
      </c>
      <c r="C109" t="str">
        <f>TEXT(A109,"mmm-yyyy")</f>
        <v>Jan-1900</v>
      </c>
      <c r="D109" t="str">
        <f>IFERROR(INDEX(Sheet1!$A$2:$A$104,MATCH(SessionData[[#This Row],[Communities]],Sheet1!$B$2:$B$104,0)),"")</f>
        <v/>
      </c>
      <c r="U109">
        <f>SUM(SessionData[[#This Row],[MALE]:[MEN]])</f>
        <v>0</v>
      </c>
    </row>
    <row r="110">
      <c r="B110">
        <f>WEEKNUM(A110)</f>
        <v>0</v>
      </c>
      <c r="C110" t="str">
        <f>TEXT(A110,"mmm-yyyy")</f>
        <v>Jan-1900</v>
      </c>
      <c r="D110" t="str">
        <f>IFERROR(INDEX(Sheet1!$A$2:$A$104,MATCH(SessionData[[#This Row],[Communities]],Sheet1!$B$2:$B$104,0)),"")</f>
        <v/>
      </c>
      <c r="U110">
        <f>SUM(SessionData[[#This Row],[MALE]:[MEN]])</f>
        <v>0</v>
      </c>
    </row>
    <row r="111">
      <c r="B111">
        <f>WEEKNUM(A111)</f>
        <v>0</v>
      </c>
      <c r="C111" t="str">
        <f>TEXT(A111,"mmm-yyyy")</f>
        <v>Jan-1900</v>
      </c>
      <c r="D111" t="str">
        <f>IFERROR(INDEX(Sheet1!$A$2:$A$104,MATCH(SessionData[[#This Row],[Communities]],Sheet1!$B$2:$B$104,0)),"")</f>
        <v/>
      </c>
      <c r="U111">
        <f>SUM(SessionData[[#This Row],[MALE]:[MEN]])</f>
        <v>0</v>
      </c>
    </row>
    <row r="112">
      <c r="B112">
        <f>WEEKNUM(A112)</f>
        <v>0</v>
      </c>
      <c r="C112" t="str">
        <f>TEXT(A112,"mmm-yyyy")</f>
        <v>Jan-1900</v>
      </c>
      <c r="D112" t="str">
        <f>IFERROR(INDEX(Sheet1!$A$2:$A$104,MATCH(SessionData[[#This Row],[Communities]],Sheet1!$B$2:$B$104,0)),"")</f>
        <v/>
      </c>
      <c r="U112">
        <f>SUM(SessionData[[#This Row],[MALE]:[MEN]])</f>
        <v>0</v>
      </c>
    </row>
    <row r="113">
      <c r="B113">
        <f>WEEKNUM(A113)</f>
        <v>0</v>
      </c>
      <c r="C113" t="str">
        <f>TEXT(A113,"mmm-yyyy")</f>
        <v>Jan-1900</v>
      </c>
      <c r="D113" t="str">
        <f>IFERROR(INDEX(Sheet1!$A$2:$A$104,MATCH(SessionData[[#This Row],[Communities]],Sheet1!$B$2:$B$104,0)),"")</f>
        <v/>
      </c>
      <c r="U113">
        <f>SUM(SessionData[[#This Row],[MALE]:[MEN]])</f>
        <v>0</v>
      </c>
    </row>
    <row r="114">
      <c r="B114">
        <f>WEEKNUM(A114)</f>
        <v>0</v>
      </c>
      <c r="C114" t="str">
        <f>TEXT(A114,"mmm-yyyy")</f>
        <v>Jan-1900</v>
      </c>
      <c r="D114" t="str">
        <f>IFERROR(INDEX(Sheet1!$A$2:$A$104,MATCH(SessionData[[#This Row],[Communities]],Sheet1!$B$2:$B$104,0)),"")</f>
        <v/>
      </c>
      <c r="U114">
        <f>SUM(SessionData[[#This Row],[MALE]:[MEN]])</f>
        <v>0</v>
      </c>
    </row>
    <row r="115">
      <c r="B115">
        <f>WEEKNUM(A115)</f>
        <v>0</v>
      </c>
      <c r="C115" t="str">
        <f>TEXT(A115,"mmm-yyyy")</f>
        <v>Jan-1900</v>
      </c>
      <c r="D115" t="str">
        <f>IFERROR(INDEX(Sheet1!$A$2:$A$104,MATCH(SessionData[[#This Row],[Communities]],Sheet1!$B$2:$B$104,0)),"")</f>
        <v/>
      </c>
      <c r="U115">
        <f>SUM(SessionData[[#This Row],[MALE]:[MEN]])</f>
        <v>0</v>
      </c>
    </row>
    <row r="116">
      <c r="B116">
        <f>WEEKNUM(A116)</f>
        <v>0</v>
      </c>
      <c r="C116" t="str">
        <f>TEXT(A116,"mmm-yyyy")</f>
        <v>Jan-1900</v>
      </c>
      <c r="D116" t="str">
        <f>IFERROR(INDEX(Sheet1!$A$2:$A$104,MATCH(SessionData[[#This Row],[Communities]],Sheet1!$B$2:$B$104,0)),"")</f>
        <v/>
      </c>
      <c r="U116">
        <f>SUM(SessionData[[#This Row],[MALE]:[MEN]])</f>
        <v>0</v>
      </c>
    </row>
    <row r="117">
      <c r="B117">
        <f>WEEKNUM(A117)</f>
        <v>0</v>
      </c>
      <c r="C117" t="str">
        <f>TEXT(A117,"mmm-yyyy")</f>
        <v>Jan-1900</v>
      </c>
      <c r="D117" t="str">
        <f>IFERROR(INDEX(Sheet1!$A$2:$A$104,MATCH(SessionData[[#This Row],[Communities]],Sheet1!$B$2:$B$104,0)),"")</f>
        <v/>
      </c>
      <c r="U117">
        <f>SUM(SessionData[[#This Row],[MALE]:[MEN]])</f>
        <v>0</v>
      </c>
    </row>
    <row r="118">
      <c r="B118">
        <f>WEEKNUM(A118)</f>
        <v>0</v>
      </c>
      <c r="C118" t="str">
        <f>TEXT(A118,"mmm-yyyy")</f>
        <v>Jan-1900</v>
      </c>
      <c r="D118" t="str">
        <f>IFERROR(INDEX(Sheet1!$A$2:$A$104,MATCH(SessionData[[#This Row],[Communities]],Sheet1!$B$2:$B$104,0)),"")</f>
        <v/>
      </c>
      <c r="U118">
        <f>SUM(SessionData[[#This Row],[MALE]:[MEN]])</f>
        <v>0</v>
      </c>
    </row>
    <row r="119">
      <c r="B119">
        <f>WEEKNUM(A119)</f>
        <v>0</v>
      </c>
      <c r="C119" t="str">
        <f>TEXT(A119,"mmm-yyyy")</f>
        <v>Jan-1900</v>
      </c>
      <c r="D119" t="str">
        <f>IFERROR(INDEX(Sheet1!$A$2:$A$104,MATCH(SessionData[[#This Row],[Communities]],Sheet1!$B$2:$B$104,0)),"")</f>
        <v/>
      </c>
      <c r="U119">
        <f>SUM(SessionData[[#This Row],[MALE]:[MEN]])</f>
        <v>0</v>
      </c>
    </row>
    <row r="120">
      <c r="B120">
        <f>WEEKNUM(A120)</f>
        <v>0</v>
      </c>
      <c r="C120" t="str">
        <f>TEXT(A120,"mmm-yyyy")</f>
        <v>Jan-1900</v>
      </c>
      <c r="D120" t="str">
        <f>IFERROR(INDEX(Sheet1!$A$2:$A$104,MATCH(SessionData[[#This Row],[Communities]],Sheet1!$B$2:$B$104,0)),"")</f>
        <v/>
      </c>
      <c r="U120">
        <f>SUM(SessionData[[#This Row],[MALE]:[MEN]])</f>
        <v>0</v>
      </c>
    </row>
    <row r="121">
      <c r="B121">
        <f>WEEKNUM(A121)</f>
        <v>0</v>
      </c>
      <c r="C121" t="str">
        <f>TEXT(A121,"mmm-yyyy")</f>
        <v>Jan-1900</v>
      </c>
      <c r="D121" t="str">
        <f>IFERROR(INDEX(Sheet1!$A$2:$A$104,MATCH(SessionData[[#This Row],[Communities]],Sheet1!$B$2:$B$104,0)),"")</f>
        <v/>
      </c>
      <c r="U121">
        <f>SUM(SessionData[[#This Row],[MALE]:[MEN]])</f>
        <v>0</v>
      </c>
    </row>
    <row r="122">
      <c r="B122">
        <f>WEEKNUM(A122)</f>
        <v>0</v>
      </c>
      <c r="C122" t="str">
        <f>TEXT(A122,"mmm-yyyy")</f>
        <v>Jan-1900</v>
      </c>
      <c r="D122" t="str">
        <f>IFERROR(INDEX(Sheet1!$A$2:$A$104,MATCH(SessionData[[#This Row],[Communities]],Sheet1!$B$2:$B$104,0)),"")</f>
        <v/>
      </c>
      <c r="U122">
        <f>SUM(SessionData[[#This Row],[MALE]:[MEN]])</f>
        <v>0</v>
      </c>
    </row>
    <row r="123">
      <c r="B123">
        <f>WEEKNUM(A123)</f>
        <v>0</v>
      </c>
      <c r="C123" t="str">
        <f>TEXT(A123,"mmm-yyyy")</f>
        <v>Jan-1900</v>
      </c>
      <c r="D123" t="str">
        <f>IFERROR(INDEX(Sheet1!$A$2:$A$104,MATCH(SessionData[[#This Row],[Communities]],Sheet1!$B$2:$B$104,0)),"")</f>
        <v/>
      </c>
      <c r="U123">
        <f>SUM(SessionData[[#This Row],[MALE]:[MEN]])</f>
        <v>0</v>
      </c>
    </row>
    <row r="124">
      <c r="B124">
        <f>WEEKNUM(A124)</f>
        <v>0</v>
      </c>
      <c r="C124" t="str">
        <f>TEXT(A124,"mmm-yyyy")</f>
        <v>Jan-1900</v>
      </c>
      <c r="D124" t="str">
        <f>IFERROR(INDEX(Sheet1!$A$2:$A$104,MATCH(SessionData[[#This Row],[Communities]],Sheet1!$B$2:$B$104,0)),"")</f>
        <v/>
      </c>
      <c r="U124">
        <f>SUM(SessionData[[#This Row],[MALE]:[MEN]])</f>
        <v>0</v>
      </c>
    </row>
    <row r="125">
      <c r="B125">
        <f>WEEKNUM(A125)</f>
        <v>0</v>
      </c>
      <c r="C125" t="str">
        <f>TEXT(A125,"mmm-yyyy")</f>
        <v>Jan-1900</v>
      </c>
      <c r="D125" t="str">
        <f>IFERROR(INDEX(Sheet1!$A$2:$A$104,MATCH(SessionData[[#This Row],[Communities]],Sheet1!$B$2:$B$104,0)),"")</f>
        <v/>
      </c>
      <c r="U125">
        <f>SUM(SessionData[[#This Row],[MALE]:[MEN]])</f>
        <v>0</v>
      </c>
    </row>
    <row r="126">
      <c r="B126">
        <f>WEEKNUM(A126)</f>
        <v>0</v>
      </c>
      <c r="C126" t="str">
        <f>TEXT(A126,"mmm-yyyy")</f>
        <v>Jan-1900</v>
      </c>
      <c r="D126" t="str">
        <f>IFERROR(INDEX(Sheet1!$A$2:$A$104,MATCH(SessionData[[#This Row],[Communities]],Sheet1!$B$2:$B$104,0)),"")</f>
        <v/>
      </c>
      <c r="U126">
        <f>SUM(SessionData[[#This Row],[MALE]:[MEN]])</f>
        <v>0</v>
      </c>
    </row>
    <row r="127">
      <c r="B127">
        <f>WEEKNUM(A127)</f>
        <v>0</v>
      </c>
      <c r="C127" t="str">
        <f>TEXT(A127,"mmm-yyyy")</f>
        <v>Jan-1900</v>
      </c>
      <c r="D127" t="str">
        <f>IFERROR(INDEX(Sheet1!$A$2:$A$104,MATCH(SessionData[[#This Row],[Communities]],Sheet1!$B$2:$B$104,0)),"")</f>
        <v/>
      </c>
      <c r="U127">
        <f>SUM(SessionData[[#This Row],[MALE]:[MEN]])</f>
        <v>0</v>
      </c>
    </row>
    <row r="128">
      <c r="B128">
        <f>WEEKNUM(A128)</f>
        <v>0</v>
      </c>
      <c r="C128" t="str">
        <f>TEXT(A128,"mmm-yyyy")</f>
        <v>Jan-1900</v>
      </c>
      <c r="D128" t="str">
        <f>IFERROR(INDEX(Sheet1!$A$2:$A$104,MATCH(SessionData[[#This Row],[Communities]],Sheet1!$B$2:$B$104,0)),"")</f>
        <v/>
      </c>
      <c r="U128">
        <f>SUM(SessionData[[#This Row],[MALE]:[MEN]])</f>
        <v>0</v>
      </c>
    </row>
    <row r="129">
      <c r="B129">
        <f>WEEKNUM(A129)</f>
        <v>0</v>
      </c>
      <c r="C129" t="str">
        <f>TEXT(A129,"mmm-yyyy")</f>
        <v>Jan-1900</v>
      </c>
      <c r="D129" t="str">
        <f>IFERROR(INDEX(Sheet1!$A$2:$A$104,MATCH(SessionData[[#This Row],[Communities]],Sheet1!$B$2:$B$104,0)),"")</f>
        <v/>
      </c>
      <c r="U129">
        <f>SUM(SessionData[[#This Row],[MALE]:[MEN]])</f>
        <v>0</v>
      </c>
    </row>
    <row r="130">
      <c r="B130">
        <f>WEEKNUM(A130)</f>
        <v>0</v>
      </c>
      <c r="C130" t="str">
        <f>TEXT(A130,"mmm-yyyy")</f>
        <v>Jan-1900</v>
      </c>
      <c r="D130" t="str">
        <f>IFERROR(INDEX(Sheet1!$A$2:$A$104,MATCH(SessionData[[#This Row],[Communities]],Sheet1!$B$2:$B$104,0)),"")</f>
        <v/>
      </c>
      <c r="U130">
        <f>SUM(SessionData[[#This Row],[MALE]:[MEN]])</f>
        <v>0</v>
      </c>
    </row>
    <row r="131">
      <c r="B131">
        <f>WEEKNUM(A131)</f>
        <v>0</v>
      </c>
      <c r="C131" t="str">
        <f>TEXT(A131,"mmm-yyyy")</f>
        <v>Jan-1900</v>
      </c>
      <c r="D131" t="str">
        <f>IFERROR(INDEX(Sheet1!$A$2:$A$104,MATCH(SessionData[[#This Row],[Communities]],Sheet1!$B$2:$B$104,0)),"")</f>
        <v/>
      </c>
      <c r="U131">
        <f>SUM(SessionData[[#This Row],[MALE]:[MEN]])</f>
        <v>0</v>
      </c>
    </row>
    <row r="132">
      <c r="B132">
        <f>WEEKNUM(A132)</f>
        <v>0</v>
      </c>
      <c r="C132" t="str">
        <f>TEXT(A132,"mmm-yyyy")</f>
        <v>Jan-1900</v>
      </c>
      <c r="D132" t="str">
        <f>IFERROR(INDEX(Sheet1!$A$2:$A$104,MATCH(SessionData[[#This Row],[Communities]],Sheet1!$B$2:$B$104,0)),"")</f>
        <v/>
      </c>
      <c r="U132">
        <f>SUM(SessionData[[#This Row],[MALE]:[MEN]])</f>
        <v>0</v>
      </c>
    </row>
    <row r="133">
      <c r="B133">
        <f>WEEKNUM(A133)</f>
        <v>0</v>
      </c>
      <c r="C133" t="str">
        <f>TEXT(A133,"mmm-yyyy")</f>
        <v>Jan-1900</v>
      </c>
      <c r="D133" t="str">
        <f>IFERROR(INDEX(Sheet1!$A$2:$A$104,MATCH(SessionData[[#This Row],[Communities]],Sheet1!$B$2:$B$104,0)),"")</f>
        <v/>
      </c>
      <c r="U133">
        <f>SUM(SessionData[[#This Row],[MALE]:[MEN]])</f>
        <v>0</v>
      </c>
    </row>
    <row r="134">
      <c r="B134">
        <f>WEEKNUM(A134)</f>
        <v>0</v>
      </c>
      <c r="C134" t="str">
        <f>TEXT(A134,"mmm-yyyy")</f>
        <v>Jan-1900</v>
      </c>
      <c r="D134" t="str">
        <f>IFERROR(INDEX(Sheet1!$A$2:$A$104,MATCH(SessionData[[#This Row],[Communities]],Sheet1!$B$2:$B$104,0)),"")</f>
        <v/>
      </c>
      <c r="U134">
        <f>SUM(SessionData[[#This Row],[MALE]:[MEN]])</f>
        <v>0</v>
      </c>
    </row>
    <row r="135">
      <c r="B135">
        <f>WEEKNUM(A135)</f>
        <v>0</v>
      </c>
      <c r="C135" t="str">
        <f>TEXT(A135,"mmm-yyyy")</f>
        <v>Jan-1900</v>
      </c>
      <c r="D135" t="str">
        <f>IFERROR(INDEX(Sheet1!$A$2:$A$104,MATCH(SessionData[[#This Row],[Communities]],Sheet1!$B$2:$B$104,0)),"")</f>
        <v/>
      </c>
      <c r="U135">
        <f>SUM(SessionData[[#This Row],[MALE]:[MEN]])</f>
        <v>0</v>
      </c>
    </row>
    <row r="136">
      <c r="B136">
        <f>WEEKNUM(A136)</f>
        <v>0</v>
      </c>
      <c r="C136" t="str">
        <f>TEXT(A136,"mmm-yyyy")</f>
        <v>Jan-1900</v>
      </c>
      <c r="D136" t="str">
        <f>IFERROR(INDEX(Sheet1!$A$2:$A$104,MATCH(SessionData[[#This Row],[Communities]],Sheet1!$B$2:$B$104,0)),"")</f>
        <v/>
      </c>
      <c r="U136">
        <f>SUM(SessionData[[#This Row],[MALE]:[MEN]])</f>
        <v>0</v>
      </c>
    </row>
    <row r="137">
      <c r="B137">
        <f>WEEKNUM(A137)</f>
        <v>0</v>
      </c>
      <c r="C137" t="str">
        <f>TEXT(A137,"mmm-yyyy")</f>
        <v>Jan-1900</v>
      </c>
      <c r="D137" t="str">
        <f>IFERROR(INDEX(Sheet1!$A$2:$A$104,MATCH(SessionData[[#This Row],[Communities]],Sheet1!$B$2:$B$104,0)),"")</f>
        <v/>
      </c>
      <c r="U137">
        <f>SUM(SessionData[[#This Row],[MALE]:[MEN]])</f>
        <v>0</v>
      </c>
    </row>
    <row r="138">
      <c r="B138">
        <f>WEEKNUM(A138)</f>
        <v>0</v>
      </c>
      <c r="C138" t="str">
        <f>TEXT(A138,"mmm-yyyy")</f>
        <v>Jan-1900</v>
      </c>
      <c r="D138" t="str">
        <f>IFERROR(INDEX(Sheet1!$A$2:$A$104,MATCH(SessionData[[#This Row],[Communities]],Sheet1!$B$2:$B$104,0)),"")</f>
        <v/>
      </c>
      <c r="U138">
        <f>SUM(SessionData[[#This Row],[MALE]:[MEN]])</f>
        <v>0</v>
      </c>
    </row>
    <row r="139">
      <c r="B139">
        <f>WEEKNUM(A139)</f>
        <v>0</v>
      </c>
      <c r="C139" t="str">
        <f>TEXT(A139,"mmm-yyyy")</f>
        <v>Jan-1900</v>
      </c>
      <c r="D139" t="str">
        <f>IFERROR(INDEX(Sheet1!$A$2:$A$104,MATCH(SessionData[[#This Row],[Communities]],Sheet1!$B$2:$B$104,0)),"")</f>
        <v/>
      </c>
      <c r="U139">
        <f>SUM(SessionData[[#This Row],[MALE]:[MEN]])</f>
        <v>0</v>
      </c>
    </row>
    <row r="140">
      <c r="B140">
        <f>WEEKNUM(A140)</f>
        <v>0</v>
      </c>
      <c r="C140" t="str">
        <f>TEXT(A140,"mmm-yyyy")</f>
        <v>Jan-1900</v>
      </c>
      <c r="D140" t="str">
        <f>IFERROR(INDEX(Sheet1!$A$2:$A$104,MATCH(SessionData[[#This Row],[Communities]],Sheet1!$B$2:$B$104,0)),"")</f>
        <v/>
      </c>
      <c r="U140">
        <f>SUM(SessionData[[#This Row],[MALE]:[MEN]])</f>
        <v>0</v>
      </c>
    </row>
    <row r="141">
      <c r="B141">
        <f>WEEKNUM(A141)</f>
        <v>0</v>
      </c>
      <c r="C141" t="str">
        <f>TEXT(A141,"mmm-yyyy")</f>
        <v>Jan-1900</v>
      </c>
      <c r="D141" t="str">
        <f>IFERROR(INDEX(Sheet1!$A$2:$A$104,MATCH(SessionData[[#This Row],[Communities]],Sheet1!$B$2:$B$104,0)),"")</f>
        <v/>
      </c>
      <c r="U141">
        <f>SUM(SessionData[[#This Row],[MALE]:[MEN]])</f>
        <v>0</v>
      </c>
    </row>
    <row r="142">
      <c r="B142">
        <f>WEEKNUM(A142)</f>
        <v>0</v>
      </c>
      <c r="C142" t="str">
        <f>TEXT(A142,"mmm-yyyy")</f>
        <v>Jan-1900</v>
      </c>
      <c r="D142" t="str">
        <f>IFERROR(INDEX(Sheet1!$A$2:$A$104,MATCH(SessionData[[#This Row],[Communities]],Sheet1!$B$2:$B$104,0)),"")</f>
        <v/>
      </c>
      <c r="U142">
        <f>SUM(SessionData[[#This Row],[MALE]:[MEN]])</f>
        <v>0</v>
      </c>
    </row>
    <row r="143">
      <c r="B143">
        <f>WEEKNUM(A143)</f>
        <v>0</v>
      </c>
      <c r="C143" t="str">
        <f>TEXT(A143,"mmm-yyyy")</f>
        <v>Jan-1900</v>
      </c>
      <c r="D143" t="str">
        <f>IFERROR(INDEX(Sheet1!$A$2:$A$104,MATCH(SessionData[[#This Row],[Communities]],Sheet1!$B$2:$B$104,0)),"")</f>
        <v/>
      </c>
      <c r="U143">
        <f>SUM(SessionData[[#This Row],[MALE]:[MEN]])</f>
        <v>0</v>
      </c>
    </row>
    <row r="144">
      <c r="B144">
        <f>WEEKNUM(A144)</f>
        <v>0</v>
      </c>
      <c r="C144" t="str">
        <f>TEXT(A144,"mmm-yyyy")</f>
        <v>Jan-1900</v>
      </c>
      <c r="D144" t="str">
        <f>IFERROR(INDEX(Sheet1!$A$2:$A$104,MATCH(SessionData[[#This Row],[Communities]],Sheet1!$B$2:$B$104,0)),"")</f>
        <v/>
      </c>
      <c r="U144">
        <f>SUM(SessionData[[#This Row],[MALE]:[MEN]])</f>
        <v>0</v>
      </c>
    </row>
    <row r="145">
      <c r="B145">
        <f>WEEKNUM(A145)</f>
        <v>0</v>
      </c>
      <c r="C145" t="str">
        <f>TEXT(A145,"mmm-yyyy")</f>
        <v>Jan-1900</v>
      </c>
      <c r="D145" t="str">
        <f>IFERROR(INDEX(Sheet1!$A$2:$A$104,MATCH(SessionData[[#This Row],[Communities]],Sheet1!$B$2:$B$104,0)),"")</f>
        <v/>
      </c>
      <c r="U145">
        <f>SUM(SessionData[[#This Row],[MALE]:[MEN]])</f>
        <v>0</v>
      </c>
    </row>
    <row r="146">
      <c r="B146">
        <f>WEEKNUM(A146)</f>
        <v>0</v>
      </c>
      <c r="C146" t="str">
        <f>TEXT(A146,"mmm-yyyy")</f>
        <v>Jan-1900</v>
      </c>
      <c r="D146" t="str">
        <f>IFERROR(INDEX(Sheet1!$A$2:$A$104,MATCH(SessionData[[#This Row],[Communities]],Sheet1!$B$2:$B$104,0)),"")</f>
        <v/>
      </c>
      <c r="U146">
        <f>SUM(SessionData[[#This Row],[MALE]:[MEN]])</f>
        <v>0</v>
      </c>
    </row>
    <row r="147">
      <c r="B147">
        <f>WEEKNUM(A147)</f>
        <v>0</v>
      </c>
      <c r="C147" t="str">
        <f>TEXT(A147,"mmm-yyyy")</f>
        <v>Jan-1900</v>
      </c>
      <c r="D147" t="str">
        <f>IFERROR(INDEX(Sheet1!$A$2:$A$104,MATCH(SessionData[[#This Row],[Communities]],Sheet1!$B$2:$B$104,0)),"")</f>
        <v/>
      </c>
      <c r="U147">
        <f>SUM(SessionData[[#This Row],[MALE]:[MEN]])</f>
        <v>0</v>
      </c>
    </row>
    <row r="148">
      <c r="B148">
        <f>WEEKNUM(A148)</f>
        <v>0</v>
      </c>
      <c r="C148" t="str">
        <f>TEXT(A148,"mmm-yyyy")</f>
        <v>Jan-1900</v>
      </c>
      <c r="D148" t="str">
        <f>IFERROR(INDEX(Sheet1!$A$2:$A$104,MATCH(SessionData[[#This Row],[Communities]],Sheet1!$B$2:$B$104,0)),"")</f>
        <v/>
      </c>
      <c r="U148">
        <f>SUM(SessionData[[#This Row],[MALE]:[MEN]])</f>
        <v>0</v>
      </c>
    </row>
    <row r="149">
      <c r="B149">
        <f>WEEKNUM(A149)</f>
        <v>0</v>
      </c>
      <c r="C149" t="str">
        <f>TEXT(A149,"mmm-yyyy")</f>
        <v>Jan-1900</v>
      </c>
      <c r="D149" t="str">
        <f>IFERROR(INDEX(Sheet1!$A$2:$A$104,MATCH(SessionData[[#This Row],[Communities]],Sheet1!$B$2:$B$104,0)),"")</f>
        <v/>
      </c>
      <c r="U149">
        <f>SUM(SessionData[[#This Row],[MALE]:[MEN]])</f>
        <v>0</v>
      </c>
    </row>
    <row r="150">
      <c r="B150">
        <f>WEEKNUM(A150)</f>
        <v>0</v>
      </c>
      <c r="C150" t="str">
        <f>TEXT(A150,"mmm-yyyy")</f>
        <v>Jan-1900</v>
      </c>
      <c r="D150" t="str">
        <f>IFERROR(INDEX(Sheet1!$A$2:$A$104,MATCH(SessionData[[#This Row],[Communities]],Sheet1!$B$2:$B$104,0)),"")</f>
        <v/>
      </c>
      <c r="U150">
        <f>SUM(SessionData[[#This Row],[MALE]:[MEN]])</f>
        <v>0</v>
      </c>
    </row>
    <row r="151">
      <c r="B151">
        <f>WEEKNUM(A151)</f>
        <v>0</v>
      </c>
      <c r="C151" t="str">
        <f>TEXT(A151,"mmm-yyyy")</f>
        <v>Jan-1900</v>
      </c>
      <c r="D151" t="str">
        <f>IFERROR(INDEX(Sheet1!$A$2:$A$104,MATCH(SessionData[[#This Row],[Communities]],Sheet1!$B$2:$B$104,0)),"")</f>
        <v/>
      </c>
      <c r="U151">
        <f>SUM(SessionData[[#This Row],[MALE]:[MEN]])</f>
        <v>0</v>
      </c>
    </row>
    <row r="152">
      <c r="B152">
        <f>WEEKNUM(A152)</f>
        <v>0</v>
      </c>
      <c r="C152" t="str">
        <f>TEXT(A152,"mmm-yyyy")</f>
        <v>Jan-1900</v>
      </c>
      <c r="D152" t="str">
        <f>IFERROR(INDEX(Sheet1!$A$2:$A$104,MATCH(SessionData[[#This Row],[Communities]],Sheet1!$B$2:$B$104,0)),"")</f>
        <v/>
      </c>
      <c r="U152">
        <f>SUM(SessionData[[#This Row],[MALE]:[MEN]])</f>
        <v>0</v>
      </c>
    </row>
    <row r="153">
      <c r="B153">
        <f>WEEKNUM(A153)</f>
        <v>0</v>
      </c>
      <c r="C153" t="str">
        <f>TEXT(A153,"mmm-yyyy")</f>
        <v>Jan-1900</v>
      </c>
      <c r="D153" t="str">
        <f>IFERROR(INDEX(Sheet1!$A$2:$A$104,MATCH(SessionData[[#This Row],[Communities]],Sheet1!$B$2:$B$104,0)),"")</f>
        <v/>
      </c>
      <c r="U153">
        <f>SUM(SessionData[[#This Row],[MALE]:[MEN]])</f>
        <v>0</v>
      </c>
    </row>
    <row r="154">
      <c r="B154">
        <f>WEEKNUM(A154)</f>
        <v>0</v>
      </c>
      <c r="C154" t="str">
        <f>TEXT(A154,"mmm-yyyy")</f>
        <v>Jan-1900</v>
      </c>
      <c r="D154" t="str">
        <f>IFERROR(INDEX(Sheet1!$A$2:$A$104,MATCH(SessionData[[#This Row],[Communities]],Sheet1!$B$2:$B$104,0)),"")</f>
        <v/>
      </c>
      <c r="U154">
        <f>SUM(SessionData[[#This Row],[MALE]:[MEN]])</f>
        <v>0</v>
      </c>
    </row>
    <row r="155">
      <c r="B155">
        <f>WEEKNUM(A155)</f>
        <v>0</v>
      </c>
      <c r="C155" t="str">
        <f>TEXT(A155,"mmm-yyyy")</f>
        <v>Jan-1900</v>
      </c>
      <c r="D155" t="str">
        <f>IFERROR(INDEX(Sheet1!$A$2:$A$104,MATCH(SessionData[[#This Row],[Communities]],Sheet1!$B$2:$B$104,0)),"")</f>
        <v/>
      </c>
      <c r="U155">
        <f>SUM(SessionData[[#This Row],[MALE]:[MEN]])</f>
        <v>0</v>
      </c>
    </row>
    <row r="156">
      <c r="B156">
        <f>WEEKNUM(A156)</f>
        <v>0</v>
      </c>
      <c r="C156" t="str">
        <f>TEXT(A156,"mmm-yyyy")</f>
        <v>Jan-1900</v>
      </c>
      <c r="D156" t="str">
        <f>IFERROR(INDEX(Sheet1!$A$2:$A$104,MATCH(SessionData[[#This Row],[Communities]],Sheet1!$B$2:$B$104,0)),"")</f>
        <v/>
      </c>
      <c r="U156">
        <f>SUM(SessionData[[#This Row],[MALE]:[MEN]])</f>
        <v>0</v>
      </c>
    </row>
    <row r="157">
      <c r="B157">
        <f>WEEKNUM(A157)</f>
        <v>0</v>
      </c>
      <c r="C157" t="str">
        <f>TEXT(A157,"mmm-yyyy")</f>
        <v>Jan-1900</v>
      </c>
      <c r="D157" t="str">
        <f>IFERROR(INDEX(Sheet1!$A$2:$A$104,MATCH(SessionData[[#This Row],[Communities]],Sheet1!$B$2:$B$104,0)),"")</f>
        <v/>
      </c>
      <c r="U157">
        <f>SUM(SessionData[[#This Row],[MALE]:[MEN]])</f>
        <v>0</v>
      </c>
    </row>
    <row r="158">
      <c r="B158">
        <f>WEEKNUM(A158)</f>
        <v>0</v>
      </c>
      <c r="C158" t="str">
        <f>TEXT(A158,"mmm-yyyy")</f>
        <v>Jan-1900</v>
      </c>
      <c r="D158" t="str">
        <f>IFERROR(INDEX(Sheet1!$A$2:$A$104,MATCH(SessionData[[#This Row],[Communities]],Sheet1!$B$2:$B$104,0)),"")</f>
        <v/>
      </c>
      <c r="U158">
        <f>SUM(SessionData[[#This Row],[MALE]:[MEN]])</f>
        <v>0</v>
      </c>
    </row>
    <row r="159">
      <c r="B159">
        <f>WEEKNUM(A159)</f>
        <v>0</v>
      </c>
      <c r="C159" t="str">
        <f>TEXT(A159,"mmm-yyyy")</f>
        <v>Jan-1900</v>
      </c>
      <c r="D159" t="str">
        <f>IFERROR(INDEX(Sheet1!$A$2:$A$104,MATCH(SessionData[[#This Row],[Communities]],Sheet1!$B$2:$B$104,0)),"")</f>
        <v/>
      </c>
      <c r="U159">
        <f>SUM(SessionData[[#This Row],[MALE]:[MEN]])</f>
        <v>0</v>
      </c>
    </row>
    <row r="160">
      <c r="B160">
        <f>WEEKNUM(A160)</f>
        <v>0</v>
      </c>
      <c r="C160" t="str">
        <f>TEXT(A160,"mmm-yyyy")</f>
        <v>Jan-1900</v>
      </c>
      <c r="D160" t="str">
        <f>IFERROR(INDEX(Sheet1!$A$2:$A$104,MATCH(SessionData[[#This Row],[Communities]],Sheet1!$B$2:$B$104,0)),"")</f>
        <v/>
      </c>
      <c r="U160">
        <f>SUM(SessionData[[#This Row],[MALE]:[MEN]])</f>
        <v>0</v>
      </c>
    </row>
    <row r="161">
      <c r="B161">
        <f>WEEKNUM(A161)</f>
        <v>0</v>
      </c>
      <c r="C161" t="str">
        <f>TEXT(A161,"mmm-yyyy")</f>
        <v>Jan-1900</v>
      </c>
      <c r="D161" t="str">
        <f>IFERROR(INDEX(Sheet1!$A$2:$A$104,MATCH(SessionData[[#This Row],[Communities]],Sheet1!$B$2:$B$104,0)),"")</f>
        <v/>
      </c>
      <c r="U161">
        <f>SUM(SessionData[[#This Row],[MALE]:[MEN]])</f>
        <v>0</v>
      </c>
    </row>
    <row r="162">
      <c r="B162">
        <f>WEEKNUM(A162)</f>
        <v>0</v>
      </c>
      <c r="C162" t="str">
        <f>TEXT(A162,"mmm-yyyy")</f>
        <v>Jan-1900</v>
      </c>
      <c r="D162" t="str">
        <f>IFERROR(INDEX(Sheet1!$A$2:$A$104,MATCH(SessionData[[#This Row],[Communities]],Sheet1!$B$2:$B$104,0)),"")</f>
        <v/>
      </c>
      <c r="U162">
        <f>SUM(SessionData[[#This Row],[MALE]:[MEN]])</f>
        <v>0</v>
      </c>
    </row>
    <row r="163">
      <c r="B163">
        <f>WEEKNUM(A163)</f>
        <v>0</v>
      </c>
      <c r="C163" t="str">
        <f>TEXT(A163,"mmm-yyyy")</f>
        <v>Jan-1900</v>
      </c>
      <c r="D163" t="str">
        <f>IFERROR(INDEX(Sheet1!$A$2:$A$104,MATCH(SessionData[[#This Row],[Communities]],Sheet1!$B$2:$B$104,0)),"")</f>
        <v/>
      </c>
      <c r="U163">
        <f>SUM(SessionData[[#This Row],[MALE]:[MEN]])</f>
        <v>0</v>
      </c>
    </row>
    <row r="164">
      <c r="B164">
        <f>WEEKNUM(A164)</f>
        <v>0</v>
      </c>
      <c r="C164" t="str">
        <f>TEXT(A164,"mmm-yyyy")</f>
        <v>Jan-1900</v>
      </c>
      <c r="D164" t="str">
        <f>IFERROR(INDEX(Sheet1!$A$2:$A$104,MATCH(SessionData[[#This Row],[Communities]],Sheet1!$B$2:$B$104,0)),"")</f>
        <v/>
      </c>
      <c r="U164">
        <f>SUM(SessionData[[#This Row],[MALE]:[MEN]])</f>
        <v>0</v>
      </c>
    </row>
    <row r="165">
      <c r="B165">
        <f>WEEKNUM(A165)</f>
        <v>0</v>
      </c>
      <c r="C165" t="str">
        <f>TEXT(A165,"mmm-yyyy")</f>
        <v>Jan-1900</v>
      </c>
      <c r="D165" t="str">
        <f>IFERROR(INDEX(Sheet1!$A$2:$A$104,MATCH(SessionData[[#This Row],[Communities]],Sheet1!$B$2:$B$104,0)),"")</f>
        <v/>
      </c>
      <c r="U165">
        <f>SUM(SessionData[[#This Row],[MALE]:[MEN]])</f>
        <v>0</v>
      </c>
    </row>
    <row r="166">
      <c r="B166">
        <f>WEEKNUM(A166)</f>
        <v>0</v>
      </c>
      <c r="C166" t="str">
        <f>TEXT(A166,"mmm-yyyy")</f>
        <v>Jan-1900</v>
      </c>
      <c r="D166" t="str">
        <f>IFERROR(INDEX(Sheet1!$A$2:$A$104,MATCH(SessionData[[#This Row],[Communities]],Sheet1!$B$2:$B$104,0)),"")</f>
        <v/>
      </c>
      <c r="U166">
        <f>SUM(SessionData[[#This Row],[MALE]:[MEN]])</f>
        <v>0</v>
      </c>
    </row>
    <row r="167">
      <c r="B167">
        <f>WEEKNUM(A167)</f>
        <v>0</v>
      </c>
      <c r="C167" t="str">
        <f>TEXT(A167,"mmm-yyyy")</f>
        <v>Jan-1900</v>
      </c>
      <c r="D167" t="str">
        <f>IFERROR(INDEX(Sheet1!$A$2:$A$104,MATCH(SessionData[[#This Row],[Communities]],Sheet1!$B$2:$B$104,0)),"")</f>
        <v/>
      </c>
      <c r="U167">
        <f>SUM(SessionData[[#This Row],[MALE]:[MEN]])</f>
        <v>0</v>
      </c>
    </row>
    <row r="168">
      <c r="B168">
        <f>WEEKNUM(A168)</f>
        <v>0</v>
      </c>
      <c r="C168" t="str">
        <f>TEXT(A168,"mmm-yyyy")</f>
        <v>Jan-1900</v>
      </c>
      <c r="D168" t="str">
        <f>IFERROR(INDEX(Sheet1!$A$2:$A$104,MATCH(SessionData[[#This Row],[Communities]],Sheet1!$B$2:$B$104,0)),"")</f>
        <v/>
      </c>
      <c r="U168">
        <f>SUM(SessionData[[#This Row],[MALE]:[MEN]])</f>
        <v>0</v>
      </c>
    </row>
    <row r="169">
      <c r="B169">
        <f>WEEKNUM(A169)</f>
        <v>0</v>
      </c>
      <c r="C169" t="str">
        <f>TEXT(A169,"mmm-yyyy")</f>
        <v>Jan-1900</v>
      </c>
      <c r="D169" t="str">
        <f>IFERROR(INDEX(Sheet1!$A$2:$A$104,MATCH(SessionData[[#This Row],[Communities]],Sheet1!$B$2:$B$104,0)),"")</f>
        <v/>
      </c>
      <c r="U169">
        <f>SUM(SessionData[[#This Row],[MALE]:[MEN]])</f>
        <v>0</v>
      </c>
    </row>
    <row r="170">
      <c r="B170">
        <f>WEEKNUM(A170)</f>
        <v>0</v>
      </c>
      <c r="C170" t="str">
        <f>TEXT(A170,"mmm-yyyy")</f>
        <v>Jan-1900</v>
      </c>
      <c r="D170" t="str">
        <f>IFERROR(INDEX(Sheet1!$A$2:$A$104,MATCH(SessionData[[#This Row],[Communities]],Sheet1!$B$2:$B$104,0)),"")</f>
        <v/>
      </c>
      <c r="U170">
        <f>SUM(SessionData[[#This Row],[MALE]:[MEN]])</f>
        <v>0</v>
      </c>
    </row>
    <row r="171">
      <c r="B171">
        <f>WEEKNUM(A171)</f>
        <v>0</v>
      </c>
      <c r="C171" t="str">
        <f>TEXT(A171,"mmm-yyyy")</f>
        <v>Jan-1900</v>
      </c>
      <c r="D171" t="str">
        <f>IFERROR(INDEX(Sheet1!$A$2:$A$104,MATCH(SessionData[[#This Row],[Communities]],Sheet1!$B$2:$B$104,0)),"")</f>
        <v/>
      </c>
      <c r="U171">
        <f>SUM(SessionData[[#This Row],[MALE]:[MEN]])</f>
        <v>0</v>
      </c>
    </row>
    <row r="172">
      <c r="B172">
        <f>WEEKNUM(A172)</f>
        <v>0</v>
      </c>
      <c r="C172" t="str">
        <f>TEXT(A172,"mmm-yyyy")</f>
        <v>Jan-1900</v>
      </c>
      <c r="D172" t="str">
        <f>IFERROR(INDEX(Sheet1!$A$2:$A$104,MATCH(SessionData[[#This Row],[Communities]],Sheet1!$B$2:$B$104,0)),"")</f>
        <v/>
      </c>
      <c r="U172">
        <f>SUM(SessionData[[#This Row],[MALE]:[MEN]])</f>
        <v>0</v>
      </c>
    </row>
    <row r="173">
      <c r="B173">
        <f>WEEKNUM(A173)</f>
        <v>0</v>
      </c>
      <c r="C173" t="str">
        <f>TEXT(A173,"mmm-yyyy")</f>
        <v>Jan-1900</v>
      </c>
      <c r="D173" t="str">
        <f>IFERROR(INDEX(Sheet1!$A$2:$A$104,MATCH(SessionData[[#This Row],[Communities]],Sheet1!$B$2:$B$104,0)),"")</f>
        <v/>
      </c>
      <c r="U173">
        <f>SUM(SessionData[[#This Row],[MALE]:[MEN]])</f>
        <v>0</v>
      </c>
    </row>
    <row r="174">
      <c r="B174">
        <f>WEEKNUM(A174)</f>
        <v>0</v>
      </c>
      <c r="C174" t="str">
        <f>TEXT(A174,"mmm-yyyy")</f>
        <v>Jan-1900</v>
      </c>
      <c r="D174" t="str">
        <f>IFERROR(INDEX(Sheet1!$A$2:$A$104,MATCH(SessionData[[#This Row],[Communities]],Sheet1!$B$2:$B$104,0)),"")</f>
        <v/>
      </c>
      <c r="U174">
        <f>SUM(SessionData[[#This Row],[MALE]:[MEN]])</f>
        <v>0</v>
      </c>
    </row>
    <row r="175">
      <c r="B175">
        <f>WEEKNUM(A175)</f>
        <v>0</v>
      </c>
      <c r="C175" t="str">
        <f>TEXT(A175,"mmm-yyyy")</f>
        <v>Jan-1900</v>
      </c>
      <c r="D175" t="str">
        <f>IFERROR(INDEX(Sheet1!$A$2:$A$104,MATCH(SessionData[[#This Row],[Communities]],Sheet1!$B$2:$B$104,0)),"")</f>
        <v/>
      </c>
      <c r="U175">
        <f>SUM(SessionData[[#This Row],[MALE]:[MEN]])</f>
        <v>0</v>
      </c>
    </row>
    <row r="176">
      <c r="B176">
        <f>WEEKNUM(A176)</f>
        <v>0</v>
      </c>
      <c r="C176" t="str">
        <f>TEXT(A176,"mmm-yyyy")</f>
        <v>Jan-1900</v>
      </c>
      <c r="D176" t="str">
        <f>IFERROR(INDEX(Sheet1!$A$2:$A$104,MATCH(SessionData[[#This Row],[Communities]],Sheet1!$B$2:$B$104,0)),"")</f>
        <v/>
      </c>
      <c r="U176">
        <f>SUM(SessionData[[#This Row],[MALE]:[MEN]])</f>
        <v>0</v>
      </c>
    </row>
    <row r="177">
      <c r="B177">
        <f>WEEKNUM(A177)</f>
        <v>0</v>
      </c>
      <c r="C177" t="str">
        <f>TEXT(A177,"mmm-yyyy")</f>
        <v>Jan-1900</v>
      </c>
      <c r="D177" t="str">
        <f>IFERROR(INDEX(Sheet1!$A$2:$A$104,MATCH(SessionData[[#This Row],[Communities]],Sheet1!$B$2:$B$104,0)),"")</f>
        <v/>
      </c>
      <c r="U177">
        <f>SUM(SessionData[[#This Row],[MALE]:[MEN]])</f>
        <v>0</v>
      </c>
    </row>
    <row r="178">
      <c r="B178">
        <f>WEEKNUM(A178)</f>
        <v>0</v>
      </c>
      <c r="C178" t="str">
        <f>TEXT(A178,"mmm-yyyy")</f>
        <v>Jan-1900</v>
      </c>
      <c r="D178" t="str">
        <f>IFERROR(INDEX(Sheet1!$A$2:$A$104,MATCH(SessionData[[#This Row],[Communities]],Sheet1!$B$2:$B$104,0)),"")</f>
        <v/>
      </c>
      <c r="U178">
        <f>SUM(SessionData[[#This Row],[MALE]:[MEN]])</f>
        <v>0</v>
      </c>
    </row>
    <row r="179">
      <c r="B179">
        <f>WEEKNUM(A179)</f>
        <v>0</v>
      </c>
      <c r="C179" t="str">
        <f>TEXT(A179,"mmm-yyyy")</f>
        <v>Jan-1900</v>
      </c>
      <c r="D179" t="str">
        <f>IFERROR(INDEX(Sheet1!$A$2:$A$104,MATCH(SessionData[[#This Row],[Communities]],Sheet1!$B$2:$B$104,0)),"")</f>
        <v/>
      </c>
      <c r="U179">
        <f>SUM(SessionData[[#This Row],[MALE]:[MEN]])</f>
        <v>0</v>
      </c>
    </row>
    <row r="180">
      <c r="B180">
        <f>WEEKNUM(A180)</f>
        <v>0</v>
      </c>
      <c r="C180" t="str">
        <f>TEXT(A180,"mmm-yyyy")</f>
        <v>Jan-1900</v>
      </c>
      <c r="D180" t="str">
        <f>IFERROR(INDEX(Sheet1!$A$2:$A$104,MATCH(SessionData[[#This Row],[Communities]],Sheet1!$B$2:$B$104,0)),"")</f>
        <v/>
      </c>
      <c r="U180">
        <f>SUM(SessionData[[#This Row],[MALE]:[MEN]])</f>
        <v>0</v>
      </c>
    </row>
    <row r="181">
      <c r="B181">
        <f>WEEKNUM(A181)</f>
        <v>0</v>
      </c>
      <c r="C181" t="str">
        <f>TEXT(A181,"mmm-yyyy")</f>
        <v>Jan-1900</v>
      </c>
      <c r="D181" t="str">
        <f>IFERROR(INDEX(Sheet1!$A$2:$A$104,MATCH(SessionData[[#This Row],[Communities]],Sheet1!$B$2:$B$104,0)),"")</f>
        <v/>
      </c>
      <c r="U181">
        <f>SUM(SessionData[[#This Row],[MALE]:[MEN]])</f>
        <v>0</v>
      </c>
    </row>
    <row r="182">
      <c r="B182">
        <f>WEEKNUM(A182)</f>
        <v>0</v>
      </c>
      <c r="C182" t="str">
        <f>TEXT(A182,"mmm-yyyy")</f>
        <v>Jan-1900</v>
      </c>
      <c r="D182" t="str">
        <f>IFERROR(INDEX(Sheet1!$A$2:$A$104,MATCH(SessionData[[#This Row],[Communities]],Sheet1!$B$2:$B$104,0)),"")</f>
        <v/>
      </c>
      <c r="U182">
        <f>SUM(SessionData[[#This Row],[MALE]:[MEN]])</f>
        <v>0</v>
      </c>
    </row>
    <row r="183">
      <c r="B183">
        <f>WEEKNUM(A183)</f>
        <v>0</v>
      </c>
      <c r="C183" t="str">
        <f>TEXT(A183,"mmm-yyyy")</f>
        <v>Jan-1900</v>
      </c>
      <c r="D183" t="str">
        <f>IFERROR(INDEX(Sheet1!$A$2:$A$104,MATCH(SessionData[[#This Row],[Communities]],Sheet1!$B$2:$B$104,0)),"")</f>
        <v/>
      </c>
      <c r="U183">
        <f>SUM(SessionData[[#This Row],[MALE]:[MEN]])</f>
        <v>0</v>
      </c>
    </row>
    <row r="184">
      <c r="B184">
        <f>WEEKNUM(A184)</f>
        <v>0</v>
      </c>
      <c r="C184" t="str">
        <f>TEXT(A184,"mmm-yyyy")</f>
        <v>Jan-1900</v>
      </c>
      <c r="D184" t="str">
        <f>IFERROR(INDEX(Sheet1!$A$2:$A$104,MATCH(SessionData[[#This Row],[Communities]],Sheet1!$B$2:$B$104,0)),"")</f>
        <v/>
      </c>
      <c r="U184">
        <f>SUM(SessionData[[#This Row],[MALE]:[MEN]])</f>
        <v>0</v>
      </c>
    </row>
    <row r="185">
      <c r="B185">
        <f>WEEKNUM(A185)</f>
        <v>0</v>
      </c>
      <c r="C185" t="str">
        <f>TEXT(A185,"mmm-yyyy")</f>
        <v>Jan-1900</v>
      </c>
      <c r="D185" t="str">
        <f>IFERROR(INDEX(Sheet1!$A$2:$A$104,MATCH(SessionData[[#This Row],[Communities]],Sheet1!$B$2:$B$104,0)),"")</f>
        <v/>
      </c>
      <c r="U185">
        <f>SUM(SessionData[[#This Row],[MALE]:[MEN]])</f>
        <v>0</v>
      </c>
    </row>
    <row r="186">
      <c r="B186">
        <f>WEEKNUM(A186)</f>
        <v>0</v>
      </c>
      <c r="C186" t="str">
        <f>TEXT(A186,"mmm-yyyy")</f>
        <v>Jan-1900</v>
      </c>
      <c r="D186" t="str">
        <f>IFERROR(INDEX(Sheet1!$A$2:$A$104,MATCH(SessionData[[#This Row],[Communities]],Sheet1!$B$2:$B$104,0)),"")</f>
        <v/>
      </c>
      <c r="U186">
        <f>SUM(SessionData[[#This Row],[MALE]:[MEN]])</f>
        <v>0</v>
      </c>
    </row>
    <row r="187">
      <c r="B187">
        <f>WEEKNUM(A187)</f>
        <v>0</v>
      </c>
      <c r="C187" t="str">
        <f>TEXT(A187,"mmm-yyyy")</f>
        <v>Jan-1900</v>
      </c>
      <c r="D187" t="str">
        <f>IFERROR(INDEX(Sheet1!$A$2:$A$104,MATCH(SessionData[[#This Row],[Communities]],Sheet1!$B$2:$B$104,0)),"")</f>
        <v/>
      </c>
      <c r="U187">
        <f>SUM(SessionData[[#This Row],[MALE]:[MEN]])</f>
        <v>0</v>
      </c>
    </row>
    <row r="188">
      <c r="B188">
        <f>WEEKNUM(A188)</f>
        <v>0</v>
      </c>
      <c r="C188" t="str">
        <f>TEXT(A188,"mmm-yyyy")</f>
        <v>Jan-1900</v>
      </c>
      <c r="D188" t="str">
        <f>IFERROR(INDEX(Sheet1!$A$2:$A$104,MATCH(SessionData[[#This Row],[Communities]],Sheet1!$B$2:$B$104,0)),"")</f>
        <v/>
      </c>
      <c r="U188">
        <f>SUM(SessionData[[#This Row],[MALE]:[MEN]])</f>
        <v>0</v>
      </c>
    </row>
    <row r="189">
      <c r="B189">
        <f>WEEKNUM(A189)</f>
        <v>0</v>
      </c>
      <c r="C189" t="str">
        <f>TEXT(A189,"mmm-yyyy")</f>
        <v>Jan-1900</v>
      </c>
      <c r="D189" t="str">
        <f>IFERROR(INDEX(Sheet1!$A$2:$A$104,MATCH(SessionData[[#This Row],[Communities]],Sheet1!$B$2:$B$104,0)),"")</f>
        <v/>
      </c>
      <c r="U189">
        <f>SUM(SessionData[[#This Row],[MALE]:[MEN]])</f>
        <v>0</v>
      </c>
    </row>
    <row r="190">
      <c r="B190">
        <f>WEEKNUM(A190)</f>
        <v>0</v>
      </c>
      <c r="C190" t="str">
        <f>TEXT(A190,"mmm-yyyy")</f>
        <v>Jan-1900</v>
      </c>
      <c r="D190" t="str">
        <f>IFERROR(INDEX(Sheet1!$A$2:$A$104,MATCH(SessionData[[#This Row],[Communities]],Sheet1!$B$2:$B$104,0)),"")</f>
        <v/>
      </c>
      <c r="U190">
        <f>SUM(SessionData[[#This Row],[MALE]:[MEN]])</f>
        <v>0</v>
      </c>
    </row>
    <row r="191">
      <c r="B191">
        <f>WEEKNUM(A191)</f>
        <v>0</v>
      </c>
      <c r="C191" t="str">
        <f>TEXT(A191,"mmm-yyyy")</f>
        <v>Jan-1900</v>
      </c>
      <c r="D191" t="str">
        <f>IFERROR(INDEX(Sheet1!$A$2:$A$104,MATCH(SessionData[[#This Row],[Communities]],Sheet1!$B$2:$B$104,0)),"")</f>
        <v/>
      </c>
      <c r="U191">
        <f>SUM(SessionData[[#This Row],[MALE]:[MEN]])</f>
        <v>0</v>
      </c>
    </row>
    <row r="192">
      <c r="B192">
        <f>WEEKNUM(A192)</f>
        <v>0</v>
      </c>
      <c r="C192" t="str">
        <f>TEXT(A192,"mmm-yyyy")</f>
        <v>Jan-1900</v>
      </c>
      <c r="D192" t="str">
        <f>IFERROR(INDEX(Sheet1!$A$2:$A$104,MATCH(SessionData[[#This Row],[Communities]],Sheet1!$B$2:$B$104,0)),"")</f>
        <v/>
      </c>
      <c r="U192">
        <f>SUM(SessionData[[#This Row],[MALE]:[MEN]])</f>
        <v>0</v>
      </c>
    </row>
    <row r="193">
      <c r="B193">
        <f>WEEKNUM(A193)</f>
        <v>0</v>
      </c>
      <c r="C193" t="str">
        <f>TEXT(A193,"mmm-yyyy")</f>
        <v>Jan-1900</v>
      </c>
      <c r="D193" t="str">
        <f>IFERROR(INDEX(Sheet1!$A$2:$A$104,MATCH(SessionData[[#This Row],[Communities]],Sheet1!$B$2:$B$104,0)),"")</f>
        <v/>
      </c>
      <c r="U193">
        <f>SUM(SessionData[[#This Row],[MALE]:[MEN]])</f>
        <v>0</v>
      </c>
    </row>
    <row r="194">
      <c r="B194">
        <f>WEEKNUM(A194)</f>
        <v>0</v>
      </c>
      <c r="C194" t="str">
        <f>TEXT(A194,"mmm-yyyy")</f>
        <v>Jan-1900</v>
      </c>
      <c r="D194" t="str">
        <f>IFERROR(INDEX(Sheet1!$A$2:$A$104,MATCH(SessionData[[#This Row],[Communities]],Sheet1!$B$2:$B$104,0)),"")</f>
        <v/>
      </c>
      <c r="U194">
        <f>SUM(SessionData[[#This Row],[MALE]:[MEN]])</f>
        <v>0</v>
      </c>
    </row>
    <row r="195">
      <c r="B195">
        <f>WEEKNUM(A195)</f>
        <v>0</v>
      </c>
      <c r="C195" t="str">
        <f>TEXT(A195,"mmm-yyyy")</f>
        <v>Jan-1900</v>
      </c>
      <c r="D195" t="str">
        <f>IFERROR(INDEX(Sheet1!$A$2:$A$104,MATCH(SessionData[[#This Row],[Communities]],Sheet1!$B$2:$B$104,0)),"")</f>
        <v/>
      </c>
      <c r="U195">
        <f>SUM(SessionData[[#This Row],[MALE]:[MEN]])</f>
        <v>0</v>
      </c>
    </row>
    <row r="196">
      <c r="B196">
        <f>WEEKNUM(A196)</f>
        <v>0</v>
      </c>
      <c r="C196" t="str">
        <f>TEXT(A196,"mmm-yyyy")</f>
        <v>Jan-1900</v>
      </c>
      <c r="D196" t="str">
        <f>IFERROR(INDEX(Sheet1!$A$2:$A$104,MATCH(SessionData[[#This Row],[Communities]],Sheet1!$B$2:$B$104,0)),"")</f>
        <v/>
      </c>
      <c r="U196">
        <f>SUM(SessionData[[#This Row],[MALE]:[MEN]])</f>
        <v>0</v>
      </c>
    </row>
    <row r="197">
      <c r="B197">
        <f>WEEKNUM(A197)</f>
        <v>0</v>
      </c>
      <c r="C197" t="str">
        <f>TEXT(A197,"mmm-yyyy")</f>
        <v>Jan-1900</v>
      </c>
      <c r="D197" t="str">
        <f>IFERROR(INDEX(Sheet1!$A$2:$A$104,MATCH(SessionData[[#This Row],[Communities]],Sheet1!$B$2:$B$104,0)),"")</f>
        <v/>
      </c>
      <c r="U197">
        <f>SUM(SessionData[[#This Row],[MALE]:[MEN]])</f>
        <v>0</v>
      </c>
    </row>
    <row r="198">
      <c r="B198">
        <f>WEEKNUM(A198)</f>
        <v>0</v>
      </c>
      <c r="C198" t="str">
        <f>TEXT(A198,"mmm-yyyy")</f>
        <v>Jan-1900</v>
      </c>
      <c r="D198" t="str">
        <f>IFERROR(INDEX(Sheet1!$A$2:$A$104,MATCH(SessionData[[#This Row],[Communities]],Sheet1!$B$2:$B$104,0)),"")</f>
        <v/>
      </c>
      <c r="U198">
        <f>SUM(SessionData[[#This Row],[MALE]:[MEN]])</f>
        <v>0</v>
      </c>
    </row>
    <row r="199">
      <c r="B199">
        <f>WEEKNUM(A199)</f>
        <v>0</v>
      </c>
      <c r="C199" t="str">
        <f>TEXT(A199,"mmm-yyyy")</f>
        <v>Jan-1900</v>
      </c>
      <c r="D199" t="str">
        <f>IFERROR(INDEX(Sheet1!$A$2:$A$104,MATCH(SessionData[[#This Row],[Communities]],Sheet1!$B$2:$B$104,0)),"")</f>
        <v/>
      </c>
      <c r="U199">
        <f>SUM(SessionData[[#This Row],[MALE]:[MEN]])</f>
        <v>0</v>
      </c>
    </row>
    <row r="200">
      <c r="B200">
        <f>WEEKNUM(A200)</f>
        <v>0</v>
      </c>
      <c r="C200" t="str">
        <f>TEXT(A200,"mmm-yyyy")</f>
        <v>Jan-1900</v>
      </c>
      <c r="D200" t="str">
        <f>IFERROR(INDEX(Sheet1!$A$2:$A$104,MATCH(SessionData[[#This Row],[Communities]],Sheet1!$B$2:$B$104,0)),"")</f>
        <v/>
      </c>
      <c r="U200">
        <f>SUM(SessionData[[#This Row],[MALE]:[MEN]])</f>
        <v>0</v>
      </c>
    </row>
    <row r="201">
      <c r="B201">
        <f>WEEKNUM(A201)</f>
        <v>0</v>
      </c>
      <c r="C201" t="str">
        <f>TEXT(A201,"mmm-yyyy")</f>
        <v>Jan-1900</v>
      </c>
      <c r="D201" t="str">
        <f>IFERROR(INDEX(Sheet1!$A$2:$A$104,MATCH(SessionData[[#This Row],[Communities]],Sheet1!$B$2:$B$104,0)),"")</f>
        <v/>
      </c>
      <c r="U201">
        <f>SUM(SessionData[[#This Row],[MALE]:[MEN]])</f>
        <v>0</v>
      </c>
    </row>
    <row r="202">
      <c r="B202">
        <f>WEEKNUM(A202)</f>
        <v>0</v>
      </c>
      <c r="C202" t="str">
        <f>TEXT(A202,"mmm-yyyy")</f>
        <v>Jan-1900</v>
      </c>
    </row>
  </sheetData>
  <mergeCells count="5">
    <mergeCell ref="O1:P1"/>
    <mergeCell ref="I1:J1"/>
    <mergeCell ref="K1:L1"/>
    <mergeCell ref="M1:N1"/>
    <mergeCell ref="D1:E1"/>
  </mergeCells>
  <pageMargins left="0.75" right="0.75" top="1" bottom="1" header="0.5" footer="0.5"/>
  <ignoredErrors>
    <ignoredError numberStoredAsText="1" sqref="A1:U202"/>
  </ignoredErrors>
</worksheet>
</file>

<file path=xl/worksheets/sheet3.xml><?xml version="1.0" encoding="utf-8"?>
<worksheet xmlns="http://schemas.openxmlformats.org/spreadsheetml/2006/main" xmlns:r="http://schemas.openxmlformats.org/officeDocument/2006/relationships">
  <dimension ref="A1:O15"/>
  <sheetViews>
    <sheetView workbookViewId="0" rightToLeft="0"/>
  </sheetViews>
  <sheetData>
    <row r="2">
      <c r="A2" t="str">
        <v>Month</v>
      </c>
      <c r="B2" t="str">
        <v>Participants</v>
      </c>
      <c r="D2" t="str">
        <v>Gender</v>
      </c>
      <c r="E2" t="str">
        <v>Participants</v>
      </c>
    </row>
    <row r="3">
      <c r="A3" t="str">
        <v>Jan-2026</v>
      </c>
      <c r="B3">
        <f>SUMIF(Data_Entry!C:C,TEXT(A3,"mmm-yyyy"),Data_Entry!U:U)</f>
        <v>0</v>
      </c>
      <c r="D3" t="str">
        <v>Male</v>
      </c>
      <c r="E3">
        <f>SUM(SessionData[MALE])+SUM(SessionData[MALE:])+SUM(SessionData[MALE.])+SUM(SessionData[MALE-])+SUM(SessionData[MALE_])+SessionData[[#This Row],[MEN]]</f>
        <v>0</v>
      </c>
    </row>
    <row r="4">
      <c r="A4" t="str">
        <v>Feb-2026</v>
      </c>
      <c r="B4">
        <f>SUMIF(Data_Entry!C:C,TEXT(A4,"mmm-yyyy"),Data_Entry!U:U)</f>
        <v>0</v>
      </c>
      <c r="D4" t="str">
        <v>Female</v>
      </c>
      <c r="E4">
        <f>SUM(SessionData[FEMALE])+SUM(SessionData[FEMALE:])+SUM(SessionData[FEMALE.])+SUM(SessionData[FEMALE-])+SUM(SessionData[FEMALE_])+Data_Entry!S3</f>
        <v>0</v>
      </c>
    </row>
    <row r="5">
      <c r="A5" t="str">
        <v>Mar-2026</v>
      </c>
      <c r="B5">
        <f>SUMIF(Data_Entry!C:C,TEXT(A5,"mmm-yyyy"),Data_Entry!U:U)</f>
        <v>0</v>
      </c>
      <c r="D5" t="str">
        <v>Other</v>
      </c>
      <c r="E5">
        <f>0</f>
        <v>0</v>
      </c>
    </row>
    <row r="6">
      <c r="A6" t="str">
        <v>Apr-2026</v>
      </c>
      <c r="B6">
        <f>SUMIF(Data_Entry!C:C,TEXT(A6,"mmm-yyyy"),Data_Entry!U:U)</f>
        <v>0</v>
      </c>
    </row>
    <row r="7">
      <c r="A7" t="str">
        <v>May-2026</v>
      </c>
      <c r="B7">
        <f>SUMIF(Data_Entry!C:C,TEXT(A7,"mmm-yyyy"),Data_Entry!U:U)</f>
        <v>0</v>
      </c>
      <c r="D7" t="str">
        <v>Target</v>
      </c>
      <c r="E7" t="str">
        <v>Participants</v>
      </c>
    </row>
    <row r="8">
      <c r="A8" t="str">
        <v>Jun-2026</v>
      </c>
      <c r="B8">
        <f>SUMIF(Data_Entry!C:C,TEXT(A8,"mmm-yyyy"),Data_Entry!U:U)</f>
        <v>0</v>
      </c>
      <c r="D8" t="str">
        <f>Data_Entry!I1</f>
        <v>Sex workers</v>
      </c>
      <c r="E8">
        <f>SUM(Data_Entry!I:J)</f>
        <v>0</v>
      </c>
    </row>
    <row r="9">
      <c r="A9" t="str">
        <v>Jul-2026</v>
      </c>
      <c r="B9">
        <f>SUMIF(Data_Entry!C:C,TEXT(A9,"mmm-yyyy"),Data_Entry!U:U)</f>
        <v>0</v>
      </c>
      <c r="D9" t="str">
        <f>Data_Entry!K1</f>
        <v>Gender Minorities</v>
      </c>
      <c r="E9">
        <f>SUM(Data_Entry!K:L)</f>
        <v>0</v>
      </c>
    </row>
    <row r="10">
      <c r="A10" t="str">
        <v>Aug-2026</v>
      </c>
      <c r="B10">
        <f>SUMIF(Data_Entry!C:C,TEXT(A10,"mmm-yyyy"),Data_Entry!U:U)</f>
        <v>0</v>
      </c>
      <c r="D10" t="str">
        <f>Data_Entry!M1</f>
        <v xml:space="preserve">IDP </v>
      </c>
      <c r="E10">
        <f>SUM(Data_Entry!M:N)</f>
        <v>0</v>
      </c>
    </row>
    <row r="11">
      <c r="A11" t="str">
        <v>Sep-2026</v>
      </c>
      <c r="B11">
        <f>SUMIF(Data_Entry!C:C,TEXT(A11,"mmm-yyyy"),Data_Entry!U:U)</f>
        <v>0</v>
      </c>
      <c r="D11" t="str">
        <f>Data_Entry!O1</f>
        <v>Persons with disabilities</v>
      </c>
      <c r="E11">
        <f>SUM(Data_Entry!O:P)</f>
        <v>0</v>
      </c>
    </row>
    <row r="12">
      <c r="A12" t="str">
        <v>Oct-2026</v>
      </c>
      <c r="B12">
        <f>SUMIF(Data_Entry!C:C,TEXT(A12,"mmm-yyyy"),Data_Entry!U:U)</f>
        <v>0</v>
      </c>
      <c r="D12" t="str">
        <f>Data_Entry!Q1</f>
        <v>AGY-W</v>
      </c>
      <c r="E12">
        <f>SUM(Data_Entry!Q:Q)</f>
        <v>0</v>
      </c>
    </row>
    <row r="13">
      <c r="A13" t="str">
        <v>Nov-2026</v>
      </c>
      <c r="B13">
        <f>SUMIF(Data_Entry!C:C,TEXT(A13,"mmm-yyyy"),Data_Entry!U:U)</f>
        <v>0</v>
      </c>
      <c r="D13" t="str">
        <f>Data_Entry!R1</f>
        <v>ABY-M</v>
      </c>
      <c r="E13">
        <f>SUM(Data_Entry!R:R)</f>
        <v>0</v>
      </c>
    </row>
    <row r="14">
      <c r="A14" t="str">
        <v>Dec-2026</v>
      </c>
      <c r="B14">
        <f>SUMIF(Data_Entry!C:C,TEXT(A14,"mmm-yyyy"),Data_Entry!U:U)</f>
        <v>0</v>
      </c>
      <c r="D14" t="str">
        <f>SessionData[[#Headers],[WOMEN]]</f>
        <v>WOMEN</v>
      </c>
      <c r="E14">
        <f>SUM(Data_Entry!S:S)</f>
        <v>0</v>
      </c>
    </row>
    <row r="15">
      <c r="D15" t="str">
        <f>SessionData[[#Headers],[MEN]]</f>
        <v>MEN</v>
      </c>
      <c r="E15">
        <f>SUM(Data_Entry!T:T)</f>
        <v>0</v>
      </c>
    </row>
  </sheetData>
  <pageMargins left="0.75" right="0.75" top="1" bottom="1" header="0.5" footer="0.5"/>
  <ignoredErrors>
    <ignoredError numberStoredAsText="1" sqref="A1:O15"/>
  </ignoredErrors>
</worksheet>
</file>

<file path=xl/worksheets/sheet4.xml><?xml version="1.0" encoding="utf-8"?>
<worksheet xmlns="http://schemas.openxmlformats.org/spreadsheetml/2006/main" xmlns:r="http://schemas.openxmlformats.org/officeDocument/2006/relationships">
  <dimension ref="A1:N7"/>
  <sheetViews>
    <sheetView workbookViewId="0" rightToLeft="0"/>
  </sheetViews>
  <sheetData>
    <row r="1">
      <c r="A1" t="str">
        <v>VISION IN ACTION CAMEROON COMMUNITY SESSIONS DASHBOARD</v>
      </c>
    </row>
    <row r="2">
      <c r="B2" t="str">
        <v>Total Participants</v>
      </c>
      <c r="C2">
        <f>SUM(Data_Entry!U:U)</f>
        <v>0</v>
      </c>
    </row>
    <row r="3">
      <c r="B3" t="str">
        <v>Total Sessions</v>
      </c>
      <c r="C3">
        <f>COUNTA(Data_Entry!A:A)-1</f>
        <v>0</v>
      </c>
    </row>
  </sheetData>
  <mergeCells count="1">
    <mergeCell ref="A1:N1"/>
  </mergeCells>
  <pageMargins left="0.75" right="0.75" top="1" bottom="1" header="0.5" footer="0.5"/>
  <ignoredErrors>
    <ignoredError numberStoredAsText="1" sqref="A1:N7"/>
  </ignoredErrors>
</worksheet>
</file>

<file path=xl/worksheets/sheet5.xml><?xml version="1.0" encoding="utf-8"?>
<worksheet xmlns="http://schemas.openxmlformats.org/spreadsheetml/2006/main" xmlns:r="http://schemas.openxmlformats.org/officeDocument/2006/relationships">
  <dimension ref="A1:E21"/>
  <sheetViews>
    <sheetView workbookViewId="0" rightToLeft="0"/>
  </sheetViews>
  <sheetData>
    <row r="2">
      <c r="A2" t="str">
        <f>SessionData[[#Headers],[Communities]]</f>
        <v>Communities</v>
      </c>
      <c r="B2" t="str">
        <v>Participants</v>
      </c>
      <c r="D2" t="str">
        <f>SessionData[[#Headers],[Division - Subdivision]]</f>
        <v>Division - Subdivision</v>
      </c>
      <c r="E2" t="str">
        <v>Participants</v>
      </c>
    </row>
    <row r="3">
      <c r="A3" t="e" cm="1">
        <f t="array" ref="A3">_xlws.SORT(UNIQUE(_xlws.FILTER(TRIM(SessionData[Communities]), (TRIM(SessionData[Communities])&lt;&gt;"")*(TRIM(SessionData[Communities])&lt;&gt;"0"))))</f>
        <v>#VALUE!</v>
      </c>
      <c r="B3" t="e" cm="1">
        <f t="array" ref="B3">IF(A3="","",SUMPRODUCT((TRIM(SessionData[Communities])=A3)*(SessionData[Participants])))</f>
        <v>#VALUE!</v>
      </c>
      <c r="D3" t="e" cm="1">
        <f t="array" ref="D3">_xlws.SORT(UNIQUE(_xlws.FILTER(TRIM(SessionData[Division - Subdivision]), (TRIM(SessionData[Division - Subdivision])&lt;&gt;"")*(TRIM(SessionData[Division - Subdivision])&lt;&gt;"0"))))</f>
        <v>#VALUE!</v>
      </c>
      <c r="E3" t="e" cm="1">
        <f t="array" ref="E3">IF(D3="","",SUMPRODUCT((TRIM(SessionData[Division - Subdivision])=D3)*(SessionData[Participants])))</f>
        <v>#VALUE!</v>
      </c>
    </row>
    <row r="4">
      <c r="B4" t="str" cm="1">
        <f t="array" ref="B4">IF(A4="","",SUMPRODUCT((TRIM(SessionData[Communities])=A4)*(SessionData[Participants])))</f>
        <v/>
      </c>
      <c r="E4" t="str" cm="1">
        <f t="array" ref="E4">IF(D4="","",SUMPRODUCT((TRIM(SessionData[Division - Subdivision])=D4)*(SessionData[Participants])))</f>
        <v/>
      </c>
    </row>
    <row r="5">
      <c r="B5" t="str" cm="1">
        <f t="array" ref="B5">IF(A5="","",SUMPRODUCT((TRIM(SessionData[Communities])=A5)*(SessionData[Participants])))</f>
        <v/>
      </c>
      <c r="E5" t="str" cm="1">
        <f t="array" ref="E5">IF(D5="","",SUMPRODUCT((TRIM(SessionData[Division - Subdivision])=D5)*(SessionData[Participants])))</f>
        <v/>
      </c>
    </row>
    <row r="6">
      <c r="B6" t="str" cm="1">
        <f t="array" ref="B6">IF(A6="","",SUMPRODUCT((TRIM(SessionData[Communities])=A6)*(SessionData[Participants])))</f>
        <v/>
      </c>
      <c r="E6" t="str" cm="1">
        <f t="array" ref="E6">IF(D6="","",SUMPRODUCT((TRIM(SessionData[Division - Subdivision])=D6)*(SessionData[Participants])))</f>
        <v/>
      </c>
    </row>
    <row r="7">
      <c r="B7" t="str" cm="1">
        <f t="array" ref="B7">IF(A7="","",SUMPRODUCT((TRIM(SessionData[Communities])=A7)*(SessionData[Participants])))</f>
        <v/>
      </c>
      <c r="E7" t="str" cm="1">
        <f t="array" ref="E7">IF(D7="","",SUMPRODUCT((TRIM(SessionData[Division - Subdivision])=D7)*(SessionData[Participants])))</f>
        <v/>
      </c>
    </row>
    <row r="8">
      <c r="B8" t="str" cm="1">
        <f t="array" ref="B8">IF(A8="","",SUMPRODUCT((TRIM(SessionData[Communities])=A8)*(SessionData[Participants])))</f>
        <v/>
      </c>
      <c r="E8" t="str" cm="1">
        <f t="array" ref="E8">IF(D8="","",SUMPRODUCT((TRIM(SessionData[Division - Subdivision])=D8)*(SessionData[Participants])))</f>
        <v/>
      </c>
    </row>
    <row r="9">
      <c r="B9" t="str" cm="1">
        <f t="array" ref="B9">IF(A9="","",SUMPRODUCT((TRIM(SessionData[Communities])=A9)*(SessionData[Participants])))</f>
        <v/>
      </c>
      <c r="E9" t="str" cm="1">
        <f t="array" ref="E9">IF(D9="","",SUMPRODUCT((TRIM(SessionData[Division - Subdivision])=D9)*(SessionData[Participants])))</f>
        <v/>
      </c>
    </row>
    <row r="10">
      <c r="B10" t="str" cm="1">
        <f t="array" ref="B10">IF(A10="","",SUMPRODUCT((TRIM(SessionData[Communities])=A10)*(SessionData[Participants])))</f>
        <v/>
      </c>
    </row>
    <row r="11">
      <c r="B11" t="str" cm="1">
        <f t="array" ref="B11">IF(A11="","",SUMPRODUCT((TRIM(SessionData[Communities])=A11)*(SessionData[Participants])))</f>
        <v/>
      </c>
    </row>
    <row r="12">
      <c r="B12" t="str" cm="1">
        <f t="array" ref="B12">IF(A12="","",SUMPRODUCT((TRIM(SessionData[Communities])=A12)*(SessionData[Participants])))</f>
        <v/>
      </c>
    </row>
    <row r="13">
      <c r="B13" t="str" cm="1">
        <f t="array" ref="B13">IF(A13="","",SUMPRODUCT((TRIM(SessionData[Communities])=A13)*(SessionData[Participants])))</f>
        <v/>
      </c>
    </row>
    <row r="14">
      <c r="B14" t="str" cm="1">
        <f t="array" ref="B14">IF(A14="","",SUMPRODUCT((TRIM(SessionData[Communities])=A14)*(SessionData[Participants])))</f>
        <v/>
      </c>
    </row>
    <row r="15">
      <c r="B15" t="str" cm="1">
        <f t="array" ref="B15">IF(A15="","",SUMPRODUCT((TRIM(SessionData[Communities])=A15)*(SessionData[Participants])))</f>
        <v/>
      </c>
    </row>
    <row r="16">
      <c r="B16" t="str" cm="1">
        <f t="array" ref="B16">IF(A16="","",SUMPRODUCT((TRIM(SessionData[Communities])=A16)*(SessionData[Participants])))</f>
        <v/>
      </c>
    </row>
    <row r="17">
      <c r="B17" t="str" cm="1">
        <f t="array" ref="B17">IF(A17="","",SUMPRODUCT((TRIM(SessionData[Communities])=A17)*(SessionData[Participants])))</f>
        <v/>
      </c>
    </row>
    <row r="18">
      <c r="B18" t="str" cm="1">
        <f t="array" ref="B18">IF(A18="","",SUMPRODUCT((TRIM(SessionData[Communities])=A18)*(SessionData[Participants])))</f>
        <v/>
      </c>
    </row>
    <row r="19">
      <c r="B19" t="str" cm="1">
        <f t="array" ref="B19">IF(A19="","",SUMPRODUCT((TRIM(SessionData[Communities])=A19)*(SessionData[Participants])))</f>
        <v/>
      </c>
    </row>
    <row r="20">
      <c r="B20" t="str" cm="1">
        <f t="array" ref="B20">IF(A20="","",SUMPRODUCT((TRIM(SessionData[Communities])=A20)*(SessionData[Participants])))</f>
        <v/>
      </c>
    </row>
    <row r="21">
      <c r="B21" t="str" cm="1">
        <f t="array" ref="B21">IF(A21="","",SUMPRODUCT((TRIM(SessionData[Communities])=A21)*(SessionData[Participants])))</f>
        <v/>
      </c>
    </row>
  </sheetData>
  <mergeCells count="1">
    <mergeCell ref="A1:E1"/>
  </mergeCells>
  <pageMargins left="0.75" right="0.75" top="1" bottom="1" header="0.5" footer="0.5"/>
  <ignoredErrors>
    <ignoredError numberStoredAsText="1" sqref="A1:E21"/>
  </ignoredErrors>
</worksheet>
</file>

<file path=xl/worksheets/sheet6.xml><?xml version="1.0" encoding="utf-8"?>
<worksheet xmlns="http://schemas.openxmlformats.org/spreadsheetml/2006/main" xmlns:r="http://schemas.openxmlformats.org/officeDocument/2006/relationships">
  <dimension ref="A2:B21"/>
  <sheetViews>
    <sheetView workbookViewId="0" rightToLeft="0"/>
  </sheetViews>
  <sheetData>
    <row r="2">
      <c r="A2" t="str">
        <v>Thematic Area</v>
      </c>
      <c r="B2" t="str">
        <v>Participants</v>
      </c>
    </row>
    <row r="3">
      <c r="A3" t="e" cm="1">
        <f t="array" ref="A3">_xlws.SORT(UNIQUE(_xlws.FILTER(TRIM(SessionData[Thematic Area]), (TRIM(SessionData[Thematic Area])&lt;&gt;"")*(TRIM(SessionData[Thematic Area])&lt;&gt;"0"))))</f>
        <v>#VALUE!</v>
      </c>
      <c r="B3" t="e" cm="1">
        <f t="array" ref="B3">IF(A3="","",SUMPRODUCT((TRIM(SessionData[Thematic Area])=A3)*(SessionData[Participants])))</f>
        <v>#VALUE!</v>
      </c>
    </row>
    <row r="4">
      <c r="B4" t="str" cm="1">
        <f t="array" ref="B4">IF(A4="","",SUMPRODUCT((TRIM(SessionData[Thematic Area])=A4)*(SessionData[Participants])))</f>
        <v/>
      </c>
    </row>
    <row r="5">
      <c r="B5" t="str" cm="1">
        <f t="array" ref="B5">IF(A5="","",SUMPRODUCT((TRIM(SessionData[Thematic Area])=A5)*(SessionData[Participants])))</f>
        <v/>
      </c>
    </row>
    <row r="6">
      <c r="B6" t="str" cm="1">
        <f t="array" ref="B6">IF(A6="","",SUMPRODUCT((TRIM(SessionData[Thematic Area])=A6)*(SessionData[Participants])))</f>
        <v/>
      </c>
    </row>
    <row r="7">
      <c r="B7" t="str" cm="1">
        <f t="array" ref="B7">IF(A7="","",SUMPRODUCT((TRIM(SessionData[Thematic Area])=A7)*(SessionData[Participants])))</f>
        <v/>
      </c>
    </row>
    <row r="8">
      <c r="B8" t="str" cm="1">
        <f t="array" ref="B8">IF(A8="","",SUMPRODUCT((TRIM(SessionData[Thematic Area])=A8)*(SessionData[Participants])))</f>
        <v/>
      </c>
    </row>
    <row r="9">
      <c r="B9" t="str" cm="1">
        <f t="array" ref="B9">IF(A9="","",SUMPRODUCT((TRIM(SessionData[Thematic Area])=A9)*(SessionData[Participants])))</f>
        <v/>
      </c>
    </row>
    <row r="10">
      <c r="B10" t="str" cm="1">
        <f t="array" ref="B10">IF(A10="","",SUMPRODUCT((TRIM(SessionData[Thematic Area])=A10)*(SessionData[Participants])))</f>
        <v/>
      </c>
    </row>
    <row r="11">
      <c r="B11" t="str" cm="1">
        <f t="array" ref="B11">IF(A11="","",SUMPRODUCT((TRIM(SessionData[Thematic Area])=A11)*(SessionData[Participants])))</f>
        <v/>
      </c>
    </row>
    <row r="12">
      <c r="B12" t="str" cm="1">
        <f t="array" ref="B12">IF(A12="","",SUMPRODUCT((TRIM(SessionData[Thematic Area])=A12)*(SessionData[Participants])))</f>
        <v/>
      </c>
    </row>
    <row r="13">
      <c r="B13" t="str" cm="1">
        <f t="array" ref="B13">IF(A13="","",SUMPRODUCT((TRIM(SessionData[Thematic Area])=A13)*(SessionData[Participants])))</f>
        <v/>
      </c>
    </row>
    <row r="14">
      <c r="B14" t="str" cm="1">
        <f t="array" ref="B14">IF(A14="","",SUMPRODUCT((TRIM(SessionData[Thematic Area])=A14)*(SessionData[Participants])))</f>
        <v/>
      </c>
    </row>
    <row r="15">
      <c r="B15" t="str" cm="1">
        <f t="array" ref="B15">IF(A15="","",SUMPRODUCT((TRIM(SessionData[Thematic Area])=A15)*(SessionData[Participants])))</f>
        <v/>
      </c>
    </row>
    <row r="16">
      <c r="B16" t="str" cm="1">
        <f t="array" ref="B16">IF(A16="","",SUMPRODUCT((TRIM(SessionData[Thematic Area])=A16)*(SessionData[Participants])))</f>
        <v/>
      </c>
    </row>
    <row r="17">
      <c r="B17" t="str" cm="1">
        <f t="array" ref="B17">IF(A17="","",SUMPRODUCT((TRIM(SessionData[Thematic Area])=A17)*(SessionData[Participants])))</f>
        <v/>
      </c>
    </row>
    <row r="18">
      <c r="B18" t="str" cm="1">
        <f t="array" ref="B18">IF(A18="","",SUMPRODUCT((TRIM(SessionData[Thematic Area])=A18)*(SessionData[Participants])))</f>
        <v/>
      </c>
    </row>
    <row r="19">
      <c r="B19" t="str" cm="1">
        <f t="array" ref="B19">IF(A19="","",SUMPRODUCT((TRIM(SessionData[Thematic Area])=A19)*(SessionData[Participants])))</f>
        <v/>
      </c>
    </row>
    <row r="20">
      <c r="B20" t="str" cm="1">
        <f t="array" ref="B20">IF(A20="","",SUMPRODUCT((TRIM(SessionData[Thematic Area])=A20)*(SessionData[Participants])))</f>
        <v/>
      </c>
    </row>
    <row r="21">
      <c r="B21" t="str" cm="1">
        <f t="array" ref="B21">IF(A21="","",SUMPRODUCT((TRIM(SessionData[Thematic Area])=A21)*(SessionData[Participants])))</f>
        <v/>
      </c>
    </row>
  </sheetData>
  <pageMargins left="0.75" right="0.75" top="1" bottom="1" header="0.5" footer="0.5"/>
  <ignoredErrors>
    <ignoredError numberStoredAsText="1" sqref="A2:B21"/>
  </ignoredErrors>
</worksheet>
</file>

<file path=xl/worksheets/sheet7.xml><?xml version="1.0" encoding="utf-8"?>
<worksheet xmlns="http://schemas.openxmlformats.org/spreadsheetml/2006/main" xmlns:r="http://schemas.openxmlformats.org/officeDocument/2006/relationships">
  <dimension ref="A1:K21"/>
  <sheetViews>
    <sheetView workbookViewId="0" rightToLeft="0"/>
  </sheetViews>
  <sheetData>
    <row r="2">
      <c r="A2" t="str">
        <v>Project</v>
      </c>
      <c r="B2" t="str">
        <v>Participants</v>
      </c>
    </row>
    <row r="3">
      <c r="A3" t="e" cm="1">
        <f t="array" ref="A3">_xlws.SORT(UNIQUE(_xlws.FILTER(TRIM(SessionData[Project]), (TRIM(SessionData[Project])&lt;&gt;"")*(TRIM(SessionData[Project])&lt;&gt;"0"))))</f>
        <v>#VALUE!</v>
      </c>
      <c r="B3" t="e" cm="1">
        <f t="array" ref="B3">IF(A3="","",SUMPRODUCT((TRIM(SessionData[Project])=A3)*(SessionData[Participants])))</f>
        <v>#VALUE!</v>
      </c>
    </row>
    <row r="4">
      <c r="B4" t="str" cm="1">
        <f t="array" ref="B4">IF(A4="","",SUMPRODUCT((TRIM(SessionData[Project])=A4)*(SessionData[Participants])))</f>
        <v/>
      </c>
    </row>
    <row r="5">
      <c r="B5" t="str" cm="1">
        <f t="array" ref="B5">IF(A5="","",SUMPRODUCT((TRIM(SessionData[Project])=A5)*(SessionData[Participants])))</f>
        <v/>
      </c>
    </row>
    <row r="6">
      <c r="B6" t="str" cm="1">
        <f t="array" ref="B6">IF(A6="","",SUMPRODUCT((TRIM(SessionData[Project])=A6)*(SessionData[Participants])))</f>
        <v/>
      </c>
    </row>
    <row r="7">
      <c r="B7" t="str" cm="1">
        <f t="array" ref="B7">IF(A7="","",SUMPRODUCT((TRIM(SessionData[Project])=A7)*(SessionData[Participants])))</f>
        <v/>
      </c>
    </row>
    <row r="8">
      <c r="B8" t="str" cm="1">
        <f t="array" ref="B8">IF(A8="","",SUMPRODUCT((TRIM(SessionData[Project])=A8)*(SessionData[Participants])))</f>
        <v/>
      </c>
    </row>
    <row r="9">
      <c r="B9" t="str" cm="1">
        <f t="array" ref="B9">IF(A9="","",SUMPRODUCT((TRIM(SessionData[Project])=A9)*(SessionData[Participants])))</f>
        <v/>
      </c>
    </row>
    <row r="10">
      <c r="B10" t="str" cm="1">
        <f t="array" ref="B10">IF(A10="","",SUMPRODUCT((TRIM(SessionData[Project])=A10)*(SessionData[Participants])))</f>
        <v/>
      </c>
    </row>
    <row r="11">
      <c r="B11" t="str" cm="1">
        <f t="array" ref="B11">IF(A11="","",SUMPRODUCT((TRIM(SessionData[Project])=A11)*(SessionData[Participants])))</f>
        <v/>
      </c>
    </row>
    <row r="12">
      <c r="B12" t="str" cm="1">
        <f t="array" ref="B12">IF(A12="","",SUMPRODUCT((TRIM(SessionData[Project])=A12)*(SessionData[Participants])))</f>
        <v/>
      </c>
    </row>
    <row r="13">
      <c r="B13" t="str" cm="1">
        <f t="array" ref="B13">IF(A13="","",SUMPRODUCT((TRIM(SessionData[Project])=A13)*(SessionData[Participants])))</f>
        <v/>
      </c>
    </row>
    <row r="14">
      <c r="B14" t="str" cm="1">
        <f t="array" ref="B14">IF(A14="","",SUMPRODUCT((TRIM(SessionData[Project])=A14)*(SessionData[Participants])))</f>
        <v/>
      </c>
    </row>
    <row r="15">
      <c r="B15" t="str" cm="1">
        <f t="array" ref="B15">IF(A15="","",SUMPRODUCT((TRIM(SessionData[Project])=A15)*(SessionData[Participants])))</f>
        <v/>
      </c>
    </row>
    <row r="16">
      <c r="B16" t="str" cm="1">
        <f t="array" ref="B16">IF(A16="","",SUMPRODUCT((TRIM(SessionData[Project])=A16)*(SessionData[Participants])))</f>
        <v/>
      </c>
    </row>
    <row r="17">
      <c r="B17" t="str" cm="1">
        <f t="array" ref="B17">IF(A17="","",SUMPRODUCT((TRIM(SessionData[Project])=A17)*(SessionData[Participants])))</f>
        <v/>
      </c>
    </row>
    <row r="18">
      <c r="B18" t="str" cm="1">
        <f t="array" ref="B18">IF(A18="","",SUMPRODUCT((TRIM(SessionData[Project])=A18)*(SessionData[Participants])))</f>
        <v/>
      </c>
    </row>
    <row r="19">
      <c r="B19" t="str" cm="1">
        <f t="array" ref="B19">IF(A19="","",SUMPRODUCT((TRIM(SessionData[Project])=A19)*(SessionData[Participants])))</f>
        <v/>
      </c>
    </row>
    <row r="20">
      <c r="B20" t="str" cm="1">
        <f t="array" ref="B20">IF(A20="","",SUMPRODUCT((TRIM(SessionData[Project])=A20)*(SessionData[Participants])))</f>
        <v/>
      </c>
    </row>
    <row r="21">
      <c r="B21" t="str" cm="1">
        <f t="array" ref="B21">IF(A21="","",SUMPRODUCT((TRIM(SessionData[Project])=A21)*(SessionData[Participants])))</f>
        <v/>
      </c>
    </row>
  </sheetData>
  <mergeCells count="1">
    <mergeCell ref="A1:K1"/>
  </mergeCells>
  <pageMargins left="0.75" right="0.75" top="1" bottom="1" header="0.5" footer="0.5"/>
  <ignoredErrors>
    <ignoredError numberStoredAsText="1" sqref="A1:K21"/>
  </ignoredErrors>
</worksheet>
</file>

<file path=xl/worksheets/sheet8.xml><?xml version="1.0" encoding="utf-8"?>
<worksheet xmlns="http://schemas.openxmlformats.org/spreadsheetml/2006/main" xmlns:r="http://schemas.openxmlformats.org/officeDocument/2006/relationships">
  <dimension ref="A1:J21"/>
  <sheetViews>
    <sheetView workbookViewId="0" rightToLeft="0"/>
  </sheetViews>
  <sheetData>
    <row r="2">
      <c r="A2" t="str">
        <v>Age Group</v>
      </c>
      <c r="B2" t="str">
        <v>Participants</v>
      </c>
    </row>
    <row r="3">
      <c r="A3" t="e" cm="1">
        <f t="array" ref="A3">_xlws.SORT(UNIQUE(_xlws.FILTER(TRIM(SessionData[Age Group]), (TRIM(SessionData[Age Group])&lt;&gt;"")*(TRIM(SessionData[Age Group])&lt;&gt;"0"))))</f>
        <v>#VALUE!</v>
      </c>
      <c r="B3" t="e" cm="1">
        <f t="array" ref="B3">IF(A3="","",SUMPRODUCT((TRIM(SessionData[Age Group])=A3)*(SessionData[Participants])))</f>
        <v>#VALUE!</v>
      </c>
    </row>
    <row r="4">
      <c r="B4" t="str" cm="1">
        <f t="array" ref="B4">IF(A4="","",SUMPRODUCT((TRIM(SessionData[Age Group])=A4)*(SessionData[Participants])))</f>
        <v/>
      </c>
    </row>
    <row r="5">
      <c r="B5" t="str" cm="1">
        <f t="array" ref="B5">IF(A5="","",SUMPRODUCT((TRIM(SessionData[Age Group])=A5)*(SessionData[Participants])))</f>
        <v/>
      </c>
    </row>
    <row r="6">
      <c r="B6" t="str" cm="1">
        <f t="array" ref="B6">IF(A6="","",SUMPRODUCT((TRIM(SessionData[Age Group])=A6)*(SessionData[Participants])))</f>
        <v/>
      </c>
    </row>
    <row r="7">
      <c r="B7" t="str" cm="1">
        <f t="array" ref="B7">IF(A7="","",SUMPRODUCT((TRIM(SessionData[Age Group])=A7)*(SessionData[Participants])))</f>
        <v/>
      </c>
    </row>
    <row r="8">
      <c r="B8" t="str" cm="1">
        <f t="array" ref="B8">IF(A8="","",SUMPRODUCT((TRIM(SessionData[Age Group])=A8)*(SessionData[Participants])))</f>
        <v/>
      </c>
    </row>
    <row r="9">
      <c r="B9" t="str" cm="1">
        <f t="array" ref="B9">IF(A9="","",SUMPRODUCT((TRIM(SessionData[Age Group])=A9)*(SessionData[Participants])))</f>
        <v/>
      </c>
    </row>
    <row r="10">
      <c r="B10" t="str" cm="1">
        <f t="array" ref="B10">IF(A10="","",SUMPRODUCT((TRIM(SessionData[Age Group])=A10)*(SessionData[Participants])))</f>
        <v/>
      </c>
    </row>
    <row r="11">
      <c r="B11" t="str" cm="1">
        <f t="array" ref="B11">IF(A11="","",SUMPRODUCT((TRIM(SessionData[Age Group])=A11)*(SessionData[Participants])))</f>
        <v/>
      </c>
    </row>
    <row r="12">
      <c r="B12" t="str" cm="1">
        <f t="array" ref="B12">IF(A12="","",SUMPRODUCT((TRIM(SessionData[Age Group])=A12)*(SessionData[Participants])))</f>
        <v/>
      </c>
    </row>
    <row r="13">
      <c r="B13" t="str" cm="1">
        <f t="array" ref="B13">IF(A13="","",SUMPRODUCT((TRIM(SessionData[Age Group])=A13)*(SessionData[Participants])))</f>
        <v/>
      </c>
    </row>
    <row r="14">
      <c r="B14" t="str" cm="1">
        <f t="array" ref="B14">IF(A14="","",SUMPRODUCT((TRIM(SessionData[Age Group])=A14)*(SessionData[Participants])))</f>
        <v/>
      </c>
    </row>
    <row r="15">
      <c r="B15" t="str" cm="1">
        <f t="array" ref="B15">IF(A15="","",SUMPRODUCT((TRIM(SessionData[Age Group])=A15)*(SessionData[Participants])))</f>
        <v/>
      </c>
    </row>
    <row r="16">
      <c r="B16" t="str" cm="1">
        <f t="array" ref="B16">IF(A16="","",SUMPRODUCT((TRIM(SessionData[Age Group])=A16)*(SessionData[Participants])))</f>
        <v/>
      </c>
    </row>
    <row r="17">
      <c r="B17" t="str" cm="1">
        <f t="array" ref="B17">IF(A17="","",SUMPRODUCT((TRIM(SessionData[Age Group])=A17)*(SessionData[Participants])))</f>
        <v/>
      </c>
    </row>
    <row r="18">
      <c r="B18" t="str" cm="1">
        <f t="array" ref="B18">IF(A18="","",SUMPRODUCT((TRIM(SessionData[Age Group])=A18)*(SessionData[Participants])))</f>
        <v/>
      </c>
    </row>
    <row r="19">
      <c r="B19" t="str" cm="1">
        <f t="array" ref="B19">IF(A19="","",SUMPRODUCT((TRIM(SessionData[Age Group])=A19)*(SessionData[Participants])))</f>
        <v/>
      </c>
    </row>
    <row r="20">
      <c r="B20" t="str" cm="1">
        <f t="array" ref="B20">IF(A20="","",SUMPRODUCT((TRIM(SessionData[Age Group])=A20)*(SessionData[Participants])))</f>
        <v/>
      </c>
    </row>
    <row r="21">
      <c r="B21" t="str" cm="1">
        <f t="array" ref="B21">IF(A21="","",SUMPRODUCT((TRIM(SessionData[Age Group])=A21)*(SessionData[Participants])))</f>
        <v/>
      </c>
    </row>
  </sheetData>
  <mergeCells count="1">
    <mergeCell ref="A1:J1"/>
  </mergeCells>
  <pageMargins left="0.75" right="0.75" top="1" bottom="1" header="0.5" footer="0.5"/>
  <ignoredErrors>
    <ignoredError numberStoredAsText="1" sqref="A1:J21"/>
  </ignoredErrors>
</worksheet>
</file>

<file path=xl/worksheets/sheet9.xml><?xml version="1.0" encoding="utf-8"?>
<worksheet xmlns="http://schemas.openxmlformats.org/spreadsheetml/2006/main" xmlns:r="http://schemas.openxmlformats.org/officeDocument/2006/relationships">
  <dimension ref="A1:F118"/>
  <sheetViews>
    <sheetView workbookViewId="0" rightToLeft="0"/>
  </sheetViews>
  <sheetData>
    <row r="1">
      <c r="A1" t="str">
        <v>VISION IN ACTION CAMEROON COMMUNITY OUTREACH SESSIONS</v>
      </c>
    </row>
    <row r="2">
      <c r="A2" t="str">
        <v>MONTHLY NARRATIVE REPORT</v>
      </c>
    </row>
    <row r="5">
      <c r="A5" t="str">
        <v>REPORTING PERIOD</v>
      </c>
    </row>
    <row r="6">
      <c r="A6" t="str">
        <f>TEXT(TODAY(),"MMMM YYYY")</f>
        <v>August 2026</v>
      </c>
    </row>
    <row r="8">
      <c r="A8" t="str">
        <v>1. EXECUTIVE SUMMARY</v>
      </c>
    </row>
    <row r="9">
      <c r="A9" t="str">
        <f>"During the reporting period, community outreach sessions were conducted across Fako Division targeting Internally Displaced Persons (IDPs), host communities, women, men, girls and boys. A total of "&amp;Dashboard!C3&amp;" sessions reached "&amp;Dashboard!C2&amp;" participants across multiple communities and thematic areas."</f>
        <v>During the reporting period, community outreach sessions were conducted across Fako Division targeting Internally Displaced Persons (IDPs), host communities, women, men, girls and boys. A total of 0 sessions reached 0 participants across multiple communities and thematic areas.</v>
      </c>
    </row>
    <row r="11">
      <c r="A11" t="str">
        <v>2. KEY STATISTICS</v>
      </c>
    </row>
    <row r="12">
      <c r="A12" t="str">
        <f>"• Total Sessions Conducted: "&amp;Dashboard!C3</f>
        <v>• Total Sessions Conducted: 0</v>
      </c>
    </row>
    <row r="13">
      <c r="A13" t="str">
        <f>"• Total Participants Reached: "&amp;Dashboard!C2</f>
        <v>• Total Participants Reached: 0</v>
      </c>
    </row>
    <row r="14">
      <c r="A14" t="e">
        <f>"• Male Participants: "&amp;Weekly_Monthly_Summary!E3&amp;" ("&amp;TEXT(Weekly_Monthly_Summary!E3/Dashboard!C2,"0%")&amp;")"</f>
        <v>#DIV/0!</v>
      </c>
    </row>
    <row r="15">
      <c r="A15" t="e">
        <f>"• Female Participants: "&amp;Weekly_Monthly_Summary!E4&amp;" ("&amp;TEXT(Weekly_Monthly_Summary!E4/Dashboard!C2,"0%")&amp;")"</f>
        <v>#DIV/0!</v>
      </c>
    </row>
    <row r="17">
      <c r="A17" t="str">
        <v>3. COMMUNITY BREAKDOWN</v>
      </c>
    </row>
    <row r="18">
      <c r="A18" t="str">
        <f>"Sessions were conducted in the following communities:"</f>
        <v>Sessions were conducted in the following communities:</v>
      </c>
    </row>
    <row r="19">
      <c r="A19" t="e">
        <f>"    • "&amp;Pivot_Community!A3&amp;": "&amp;Pivot_Community!B3&amp;" participants"</f>
        <v>#VALUE!</v>
      </c>
    </row>
    <row r="20">
      <c r="A20" t="str">
        <f>"    • "&amp;Pivot_Community!A4&amp;": "&amp;Pivot_Community!B4&amp;" participants"</f>
        <v xml:space="preserve">    • :  participants</v>
      </c>
    </row>
    <row r="21">
      <c r="A21" t="str">
        <f>"    • "&amp;Pivot_Community!A5&amp;": "&amp;Pivot_Community!B5&amp;" participants"</f>
        <v xml:space="preserve">    • :  participants</v>
      </c>
    </row>
    <row r="22">
      <c r="A22" t="str">
        <f>"    • "&amp;Pivot_Community!A6&amp;": "&amp;Pivot_Community!B6&amp;" participants"</f>
        <v xml:space="preserve">    • :  participants</v>
      </c>
    </row>
    <row r="23">
      <c r="A23" t="str">
        <f>"    • "&amp;Pivot_Community!A7&amp;": "&amp;Pivot_Community!B7&amp;" participants"</f>
        <v xml:space="preserve">    • :  participants</v>
      </c>
    </row>
    <row r="24">
      <c r="A24" t="str">
        <f>"    • "&amp;Pivot_Community!A8&amp;": "&amp;Pivot_Community!B8&amp;" participants"</f>
        <v xml:space="preserve">    • :  participants</v>
      </c>
    </row>
    <row r="25">
      <c r="A25" t="str">
        <f>"    • "&amp;Pivot_Community!A9&amp;": "&amp;Pivot_Community!B9&amp;" participants"</f>
        <v xml:space="preserve">    • :  participants</v>
      </c>
    </row>
    <row r="26">
      <c r="A26" t="str">
        <f>"    • "&amp;Pivot_Community!A10&amp;": "&amp;Pivot_Community!B10&amp;" participants"</f>
        <v xml:space="preserve">    • :  participants</v>
      </c>
    </row>
    <row r="27">
      <c r="A27" t="str">
        <f>"    • "&amp;Pivot_Community!A11&amp;": "&amp;Pivot_Community!B11&amp;" participants"</f>
        <v xml:space="preserve">    • :  participants</v>
      </c>
    </row>
    <row r="28">
      <c r="A28" t="str">
        <f>"    • "&amp;Pivot_Community!A12&amp;": "&amp;Pivot_Community!B12&amp;" participants"</f>
        <v xml:space="preserve">    • :  participants</v>
      </c>
    </row>
    <row r="29">
      <c r="A29" t="str">
        <f>"    • "&amp;Pivot_Community!A13&amp;": "&amp;Pivot_Community!B13&amp;" participants"</f>
        <v xml:space="preserve">    • :  participants</v>
      </c>
    </row>
    <row r="30">
      <c r="A30" t="str">
        <f>"    • "&amp;Pivot_Community!A14&amp;": "&amp;Pivot_Community!B14&amp;" participants"</f>
        <v xml:space="preserve">    • :  participants</v>
      </c>
    </row>
    <row r="31">
      <c r="A31" t="str">
        <f>"    • "&amp;Pivot_Community!A15&amp;": "&amp;Pivot_Community!B15&amp;" participants"</f>
        <v xml:space="preserve">    • :  participants</v>
      </c>
    </row>
    <row r="32">
      <c r="A32" t="str">
        <f>"    • "&amp;Pivot_Community!A16&amp;": "&amp;Pivot_Community!B16&amp;" participants"</f>
        <v xml:space="preserve">    • :  participants</v>
      </c>
    </row>
    <row r="33">
      <c r="A33" t="str">
        <f>"    • "&amp;Pivot_Community!A17&amp;": "&amp;Pivot_Community!B17&amp;" participants"</f>
        <v xml:space="preserve">    • :  participants</v>
      </c>
    </row>
    <row r="34">
      <c r="A34" t="str">
        <f>"    • "&amp;Pivot_Community!A18&amp;": "&amp;Pivot_Community!B18&amp;" participants"</f>
        <v xml:space="preserve">    • :  participants</v>
      </c>
    </row>
    <row r="35">
      <c r="A35" t="str">
        <f>"    • "&amp;Pivot_Community!A19&amp;": "&amp;Pivot_Community!B19&amp;" participants"</f>
        <v xml:space="preserve">    • :  participants</v>
      </c>
    </row>
    <row r="36">
      <c r="A36" t="str">
        <f>"    • "&amp;Pivot_Community!A20&amp;": "&amp;Pivot_Community!B20&amp;" participants"</f>
        <v xml:space="preserve">    • :  participants</v>
      </c>
    </row>
    <row r="37">
      <c r="A37" t="str">
        <f>"    • "&amp;Pivot_Community!A21&amp;": "&amp;Pivot_Community!B21&amp;" participants"</f>
        <v xml:space="preserve">    • :  participants</v>
      </c>
    </row>
    <row r="38">
      <c r="A38" t="str">
        <f>"    • "&amp;Pivot_Community!A22&amp;": "&amp;Pivot_Community!B22&amp;" participants"</f>
        <v xml:space="preserve">    • :  participants</v>
      </c>
    </row>
    <row r="39">
      <c r="A39" t="str">
        <f>"    • "&amp;Pivot_Community!A23&amp;": "&amp;Pivot_Community!B23&amp;" participants"</f>
        <v xml:space="preserve">    • :  participants</v>
      </c>
    </row>
    <row r="40">
      <c r="A40" t="str">
        <f>"    • "&amp;Pivot_Community!A24&amp;": "&amp;Pivot_Community!B24&amp;" participants"</f>
        <v xml:space="preserve">    • :  participants</v>
      </c>
    </row>
    <row r="42">
      <c r="A42" t="str">
        <v>4. THEMATIC AREAS COVERED</v>
      </c>
    </row>
    <row r="43">
      <c r="A43" t="str">
        <f>"Sessions addressed the following thematic areas:"</f>
        <v>Sessions addressed the following thematic areas:</v>
      </c>
    </row>
    <row r="44">
      <c r="A44" t="e">
        <f>"    • "&amp;Pivot_Thematic!A3&amp;": "&amp;Pivot_Thematic!B3&amp;" participants"</f>
        <v>#VALUE!</v>
      </c>
    </row>
    <row r="45">
      <c r="A45" t="str">
        <f>"    • "&amp;Pivot_Thematic!A4&amp;": "&amp;Pivot_Thematic!B4&amp;" participants"</f>
        <v xml:space="preserve">    • :  participants</v>
      </c>
    </row>
    <row r="46">
      <c r="A46" t="str">
        <f>"    • "&amp;Pivot_Thematic!A5&amp;": "&amp;Pivot_Thematic!B5&amp;" participants"</f>
        <v xml:space="preserve">    • :  participants</v>
      </c>
    </row>
    <row r="48">
      <c r="A48" t="str">
        <v>5. AGE GROUP DISTRIBUTION</v>
      </c>
    </row>
    <row r="49">
      <c r="A49" t="str">
        <f>"Participants were distributed across the following age groups:"</f>
        <v>Participants were distributed across the following age groups:</v>
      </c>
    </row>
    <row r="50">
      <c r="A50" t="e">
        <f>"    • "&amp;Pivot_Age_Group!A3&amp;": "&amp;Pivot_Age_Group!B3&amp;" participants ("&amp;TEXT(Pivot_Age_Group!B3/Dashboard!C2,"0%")&amp;")"</f>
        <v>#VALUE!</v>
      </c>
    </row>
    <row r="51">
      <c r="A51" t="e">
        <f>"    • "&amp;Pivot_Age_Group!A4&amp;": "&amp;Pivot_Age_Group!B4&amp;" participants ("&amp;TEXT(Pivot_Age_Group!B4/Dashboard!C2,"0%")&amp;")"</f>
        <v>#VALUE!</v>
      </c>
    </row>
    <row r="52">
      <c r="A52" t="e">
        <f>"    • "&amp;Pivot_Age_Group!A5&amp;": "&amp;Pivot_Age_Group!B5&amp;" participants ("&amp;TEXT(Pivot_Age_Group!B5/Dashboard!C2,"0%")&amp;")"</f>
        <v>#VALUE!</v>
      </c>
    </row>
    <row r="54">
      <c r="A54" t="str">
        <v>6. TARGET POPULATIONS REACHED</v>
      </c>
    </row>
    <row r="55">
      <c r="A55" t="str">
        <f>"The following vulnerable and key populations were reached:"</f>
        <v>The following vulnerable and key populations were reached:</v>
      </c>
    </row>
    <row r="56">
      <c r="A56" t="str">
        <f>"    • Sex Workers: "&amp;Weekly_Monthly_Summary!E8&amp;" participants"</f>
        <v xml:space="preserve">    • Sex Workers: 0 participants</v>
      </c>
    </row>
    <row r="57">
      <c r="A57" t="str">
        <f>"    • Gender Minorities: "&amp;Weekly_Monthly_Summary!E9&amp;" participants"</f>
        <v xml:space="preserve">    • Gender Minorities: 0 participants</v>
      </c>
    </row>
    <row r="58">
      <c r="A58" t="str">
        <f>"    • Internally Displaced Persons (IDPs): "&amp;Weekly_Monthly_Summary!E10&amp;" participants"</f>
        <v xml:space="preserve">    • Internally Displaced Persons (IDPs): 0 participants</v>
      </c>
    </row>
    <row r="59">
      <c r="A59" t="str">
        <f>"    • Persons with Disabilities: "&amp;Weekly_Monthly_Summary!E11&amp;" participants"</f>
        <v xml:space="preserve">    • Persons with Disabilities: 0 participants</v>
      </c>
    </row>
    <row r="60">
      <c r="A60" t="str">
        <f>"    • Adolescent Girls and Young Women (AGYW): "&amp;Weekly_Monthly_Summary!E12&amp;" participants"</f>
        <v xml:space="preserve">    • Adolescent Girls and Young Women (AGYW): 0 participants</v>
      </c>
    </row>
    <row r="61">
      <c r="A61" t="str">
        <f>"    • Adolescent and Young Boys and Men (AYBM): "&amp;Weekly_Monthly_Summary!E13&amp;" participants"</f>
        <v xml:space="preserve">    • Adolescent and Young Boys and Men (AYBM): 0 participants</v>
      </c>
    </row>
    <row r="63">
      <c r="A63" t="str">
        <v>7. OBJECTIVES</v>
      </c>
    </row>
    <row r="64">
      <c r="A64" t="str">
        <v>The community outreach sessions aimed to achieve the following objectives:</v>
      </c>
    </row>
    <row r="65">
      <c r="A65" t="str">
        <v xml:space="preserve">    • Increase awareness on sexual and reproductive health rights (SRHR) among vulnerable populations</v>
      </c>
    </row>
    <row r="66">
      <c r="A66" t="str">
        <v xml:space="preserve">    • Provide education on STI prevention, testing, and treatment options</v>
      </c>
    </row>
    <row r="67">
      <c r="A67" t="str">
        <v xml:space="preserve">    • Address drug abuse and its impact on community health and wellbeing</v>
      </c>
    </row>
    <row r="68">
      <c r="A68" t="str">
        <v xml:space="preserve">    • Strengthen community engagement with IDPs, host communities, and key populations</v>
      </c>
    </row>
    <row r="69">
      <c r="A69" t="str">
        <v xml:space="preserve">    • Promote gender-sensitive approaches in health service delivery</v>
      </c>
    </row>
    <row r="71">
      <c r="A71" t="str">
        <v>8. METHODOLOGY</v>
      </c>
    </row>
    <row r="72">
      <c r="A72" t="str">
        <v>The following approaches were employed during the community outreach sessions:</v>
      </c>
    </row>
    <row r="73">
      <c r="A73" t="str">
        <v xml:space="preserve">    • Community mobilization through local leaders and peer educators</v>
      </c>
    </row>
    <row r="74">
      <c r="A74" t="str">
        <v xml:space="preserve">    • Interactive group discussions and participatory learning sessions</v>
      </c>
    </row>
    <row r="75">
      <c r="A75" t="str">
        <v xml:space="preserve">    • Distribution of Information, Education and Communication (IEC) materials</v>
      </c>
    </row>
    <row r="76">
      <c r="A76" t="str">
        <v xml:space="preserve">    • One-on-one counseling and referral services for identified cases</v>
      </c>
    </row>
    <row r="77">
      <c r="A77" t="str">
        <v xml:space="preserve">    • Data collection using standardized session tracking forms</v>
      </c>
    </row>
    <row r="79">
      <c r="A79" t="str">
        <v>9. LESSONS LEARNT &amp; FEEDBACK</v>
      </c>
    </row>
    <row r="80">
      <c r="A80" t="str">
        <v>Key lessons and feedback from the reporting period include:</v>
      </c>
    </row>
    <row r="81">
      <c r="A81" t="str">
        <v xml:space="preserve">    • Community engagement is more effective when local leaders are involved from the planning stage</v>
      </c>
    </row>
    <row r="82">
      <c r="A82" t="str">
        <v xml:space="preserve">    • Participants expressed preference for sessions conducted in local languages</v>
      </c>
    </row>
    <row r="83">
      <c r="A83" t="str">
        <v xml:space="preserve">    • Combining health education with practical demonstrations increases retention and behavior change</v>
      </c>
    </row>
    <row r="84">
      <c r="A84" t="str">
        <v xml:space="preserve">    • Follow-up sessions are needed to reinforce key messages and track progress</v>
      </c>
    </row>
    <row r="85">
      <c r="A85" t="str">
        <v xml:space="preserve">    • Youth respond well to peer-led education approaches</v>
      </c>
    </row>
    <row r="87">
      <c r="A87" t="str">
        <v>10. CHALLENGES</v>
      </c>
    </row>
    <row r="88">
      <c r="A88" t="str">
        <v>The following challenges were encountered during implementation:</v>
      </c>
    </row>
    <row r="89">
      <c r="A89" t="str">
        <v xml:space="preserve">    • Limited transportation to reach remote communities</v>
      </c>
    </row>
    <row r="90">
      <c r="A90" t="str">
        <v xml:space="preserve">    • Language barriers with some displaced populations</v>
      </c>
    </row>
    <row r="91">
      <c r="A91" t="str">
        <v xml:space="preserve">    • Stigma around certain topics (STI, drug abuse) limiting open participation</v>
      </c>
    </row>
    <row r="92">
      <c r="A92" t="str">
        <v xml:space="preserve">    • Competing priorities and low attendance during farming/market days</v>
      </c>
    </row>
    <row r="93">
      <c r="A93" t="str">
        <v xml:space="preserve">    • Insufficient IEC materials to meet community demand</v>
      </c>
    </row>
    <row r="95">
      <c r="A95" t="str">
        <v>11. CONCLUSION</v>
      </c>
    </row>
    <row r="96">
      <c r="A96" t="e">
        <f>"The community outreach sessions during this reporting period successfully reached "&amp;Dashboard!C2&amp;" participants through "&amp;Dashboard!C3&amp;_LONGTEXT(" sessions. The sessions addressed critical thematic areas including sexual and reproductive health, STI prevention, and drug abuse awareness. Continued engagement with vulnerable populations including IDPs, sex workers, gender minorities, and persons with"," disabilities remains a priority. Despite challenges encountered, the program demonstrated strong community participation and valuable lessons were documented for future improvements.")</f>
        <v>#NAME?</v>
      </c>
    </row>
    <row r="98">
      <c r="A98" t="str">
        <v>12. RECOMMENDATIONS</v>
      </c>
    </row>
    <row r="99">
      <c r="A99" t="str">
        <v>Based on lessons learnt and challenges, the following recommendations are proposed:</v>
      </c>
    </row>
    <row r="100">
      <c r="A100" t="str">
        <v xml:space="preserve">    • Increase budget allocation for transportation to remote areas</v>
      </c>
    </row>
    <row r="101">
      <c r="A101" t="str">
        <v xml:space="preserve">    • Train additional peer educators from local communities</v>
      </c>
    </row>
    <row r="102">
      <c r="A102" t="str">
        <v xml:space="preserve">    • Schedule sessions around community calendars to maximize attendance</v>
      </c>
    </row>
    <row r="103">
      <c r="A103" t="str">
        <v xml:space="preserve">    • Procure additional IEC materials in local languages</v>
      </c>
    </row>
    <row r="107">
      <c r="A107" t="str">
        <f>"Report Prepared by"</f>
        <v>Report Prepared by</v>
      </c>
    </row>
    <row r="108">
      <c r="A108" t="str">
        <v>Data Source: SessionData Table (Data_Entry Sheet)</v>
      </c>
    </row>
    <row r="110">
      <c r="A110" t="str">
        <v>_______________________________</v>
      </c>
    </row>
    <row r="111">
      <c r="A111" t="str">
        <v>Prepared by: ____________________</v>
      </c>
    </row>
    <row r="112">
      <c r="A112" t="str">
        <v>Designation: ____________________</v>
      </c>
    </row>
    <row r="113">
      <c r="A113" t="str">
        <v>Date: ____________________</v>
      </c>
    </row>
    <row r="115">
      <c r="A115" t="str">
        <v>_______________________________</v>
      </c>
    </row>
    <row r="116">
      <c r="A116" t="str">
        <v>Approved by: ____________________</v>
      </c>
    </row>
    <row r="117">
      <c r="A117" t="str">
        <v>Designation: ____________________</v>
      </c>
    </row>
    <row r="118">
      <c r="A118" t="str">
        <v>Date: ____________________</v>
      </c>
    </row>
  </sheetData>
  <pageMargins left="0.75" right="0.75" top="1" bottom="1" header="0.5" footer="0.5"/>
  <ignoredErrors>
    <ignoredError numberStoredAsText="1" sqref="A1:F11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Sheet1</vt:lpstr>
      <vt:lpstr>Data_Entry</vt:lpstr>
      <vt:lpstr>Weekly_Monthly_Summary</vt:lpstr>
      <vt:lpstr>Dashboard</vt:lpstr>
      <vt:lpstr>Pivot_Community</vt:lpstr>
      <vt:lpstr>Pivot_Thematic</vt:lpstr>
      <vt:lpstr>Pivot_Project</vt:lpstr>
      <vt:lpstr>Pivot_Age_Group</vt:lpstr>
      <vt:lpstr>Narrative_Report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2026-07-28T12:07:37Z</dcterms:created>
  <dcterms:modified xsi:type="dcterms:W3CDTF">2026-08-05T10:39:25Z</dcterms:modified>
  <cp:lastModifiedBy>VIAC FINANCE</cp:lastModifiedBy>
  <dc:creator>VIAC FINANCE</dc:creator>
</cp:coreProperties>
</file>